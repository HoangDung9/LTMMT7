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42B747B-D256-4F99-A088-000FFAB269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_Phong_Tung_Buoc" sheetId="1" r:id="rId1"/>
    <sheet name="Kich_Ban_Kiem_Thu" sheetId="2" r:id="rId2"/>
    <sheet name="Bang_Nhan_16x16" sheetId="3" r:id="rId3"/>
    <sheet name="Bang_Tra_Cuu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B12" i="1"/>
  <c r="F7" i="1"/>
  <c r="E7" i="1"/>
  <c r="D7" i="1"/>
  <c r="F6" i="1"/>
  <c r="E6" i="1"/>
  <c r="D6" i="1"/>
  <c r="G12" i="1" l="1"/>
  <c r="N12" i="1"/>
  <c r="D13" i="1" s="1"/>
  <c r="E12" i="1"/>
  <c r="K12" i="1"/>
  <c r="J12" i="1"/>
  <c r="L12" i="1"/>
  <c r="M12" i="1"/>
  <c r="B13" i="1" s="1"/>
  <c r="C12" i="1"/>
  <c r="H12" i="1" l="1"/>
  <c r="O12" i="1" s="1"/>
  <c r="G13" i="1"/>
  <c r="E13" i="1"/>
  <c r="N13" i="1"/>
  <c r="D14" i="1" s="1"/>
  <c r="C13" i="1"/>
  <c r="J13" i="1"/>
  <c r="K13" i="1"/>
  <c r="M13" i="1"/>
  <c r="B14" i="1" s="1"/>
  <c r="L13" i="1"/>
  <c r="F13" i="1" l="1"/>
  <c r="H13" i="1" s="1"/>
  <c r="O13" i="1" s="1"/>
  <c r="I12" i="1"/>
  <c r="E14" i="1"/>
  <c r="G14" i="1"/>
  <c r="N14" i="1"/>
  <c r="D15" i="1" s="1"/>
  <c r="C14" i="1"/>
  <c r="J14" i="1"/>
  <c r="K14" i="1"/>
  <c r="L14" i="1"/>
  <c r="M14" i="1"/>
  <c r="B15" i="1" s="1"/>
  <c r="I13" i="1" l="1"/>
  <c r="F14" i="1"/>
  <c r="H14" i="1" s="1"/>
  <c r="O14" i="1" s="1"/>
  <c r="E15" i="1"/>
  <c r="G15" i="1"/>
  <c r="N15" i="1"/>
  <c r="C15" i="1"/>
  <c r="J15" i="1"/>
  <c r="K15" i="1"/>
  <c r="L15" i="1"/>
  <c r="M15" i="1"/>
  <c r="I14" i="1" l="1"/>
  <c r="F15" i="1"/>
  <c r="H15" i="1" s="1"/>
  <c r="O15" i="1" s="1"/>
  <c r="I15" i="1" l="1"/>
  <c r="B18" i="1"/>
  <c r="D18" i="1" l="1"/>
  <c r="F18" i="1"/>
  <c r="H18" i="1"/>
</calcChain>
</file>

<file path=xl/sharedStrings.xml><?xml version="1.0" encoding="utf-8"?>
<sst xmlns="http://schemas.openxmlformats.org/spreadsheetml/2006/main" count="331" uniqueCount="153">
  <si>
    <t>Mô phỏng trực tiếp từng câu lệnh C trong hàm gf2_4(a, b, c) với c = 0b0011 (x^4 + x + 1)</t>
  </si>
  <si>
    <t>1. THAM SỐ ĐẦU VÀO CHƯƠNG TRÌNH C (Nhập giá trị tại ô màu vàng C6, C7)</t>
  </si>
  <si>
    <t>Tham số toán học</t>
  </si>
  <si>
    <t>Tên biến C</t>
  </si>
  <si>
    <t>Giá trị (Dec)</t>
  </si>
  <si>
    <t>Mã Hex</t>
  </si>
  <si>
    <t>Dạng nhị phân 4-bit</t>
  </si>
  <si>
    <t>Biểu diễn đa thức</t>
  </si>
  <si>
    <t>Đa thức a</t>
  </si>
  <si>
    <t>a</t>
  </si>
  <si>
    <t>Đa thức b</t>
  </si>
  <si>
    <t>b</t>
  </si>
  <si>
    <t>Đa thức khử c</t>
  </si>
  <si>
    <t>c</t>
  </si>
  <si>
    <t>0x3</t>
  </si>
  <si>
    <t>0011</t>
  </si>
  <si>
    <t>x^4 + x + 1 (bỏ bit x^4)</t>
  </si>
  <si>
    <t>Vòng lặp (i)</t>
  </si>
  <si>
    <t>a đầu vào (a)</t>
  </si>
  <si>
    <t>a (Nhị phân)</t>
  </si>
  <si>
    <t>b đầu vào (b)</t>
  </si>
  <si>
    <t>b (Nhị phân)</t>
  </si>
  <si>
    <t>ket_qua đầu</t>
  </si>
  <si>
    <t>Bit cuối b (b &amp; 1)</t>
  </si>
  <si>
    <t>ket_qua sau XOR (^= a)</t>
  </si>
  <si>
    <t>ket_qua (Nhị phân)</t>
  </si>
  <si>
    <t>Bit tràn kiem_tra (a &amp; 0b1000)</t>
  </si>
  <si>
    <t>Dịch trái a (a &lt;&lt; 1) &amp; 0b1111</t>
  </si>
  <si>
    <t>Khử c (a ^= c nếu kiem_tra)</t>
  </si>
  <si>
    <t>a cuối bước</t>
  </si>
  <si>
    <t>Dịch phải b (b &gt;&gt; 1)</t>
  </si>
  <si>
    <t>Giải thích chi tiết bước thực thi</t>
  </si>
  <si>
    <t>3. KẾT QUẢ ĐẦU RA CUỐI CÙNG HÀM C</t>
  </si>
  <si>
    <t>Giá trị KET_QUA (Dec):</t>
  </si>
  <si>
    <t>Mã Hex:</t>
  </si>
  <si>
    <t>Nhị phân 4-bit:</t>
  </si>
  <si>
    <t>Biểu diễn đa thức R(x):</t>
  </si>
  <si>
    <t>ĐỐI CHIẾU CÁC KỊCH BẢN KIỂM THỬ TRONG CHƯƠNG TRÌNH C</t>
  </si>
  <si>
    <t>Mô phỏng 5 Test Vectors thực nghiệm và đối chiếu kết quả hàm gf2_4(a, b, c)</t>
  </si>
  <si>
    <t>KỊCH BẢN 1: Test 1: a = 10 (0xA), b = 5 (0x5)</t>
  </si>
  <si>
    <t>Bước (i)</t>
  </si>
  <si>
    <t>a_in</t>
  </si>
  <si>
    <t>a_in (Bin)</t>
  </si>
  <si>
    <t>b_in</t>
  </si>
  <si>
    <t>b_in (Bin)</t>
  </si>
  <si>
    <t>res_in</t>
  </si>
  <si>
    <t>b &amp; 1</t>
  </si>
  <si>
    <t>res_mới</t>
  </si>
  <si>
    <t>res_mới (Bin)</t>
  </si>
  <si>
    <t>kiem_tra (a &amp; 0b1000)</t>
  </si>
  <si>
    <t>a_out</t>
  </si>
  <si>
    <t>b_out</t>
  </si>
  <si>
    <t>1010</t>
  </si>
  <si>
    <t>0101</t>
  </si>
  <si>
    <t>TRUE</t>
  </si>
  <si>
    <t>0111</t>
  </si>
  <si>
    <t>0010</t>
  </si>
  <si>
    <t>FALSE</t>
  </si>
  <si>
    <t>1110</t>
  </si>
  <si>
    <t>0001</t>
  </si>
  <si>
    <t>0100</t>
  </si>
  <si>
    <t>1111</t>
  </si>
  <si>
    <t>0000</t>
  </si>
  <si>
    <t>KỊCH BẢN 2: Test 2: a = 2 (0x2), b = 3 (0x3)</t>
  </si>
  <si>
    <t>0110</t>
  </si>
  <si>
    <t>1000</t>
  </si>
  <si>
    <t>KỊCH BẢN 3: Test 3: a = 8 (0x8), b = 2 (0x2)</t>
  </si>
  <si>
    <t>1100</t>
  </si>
  <si>
    <t>KỊCH BẢN 4: Test 4: a = 5 (0x5), b = 11 (0xB)</t>
  </si>
  <si>
    <t>1011</t>
  </si>
  <si>
    <t>KỊCH BẢN 5: Test 5: a = 15 (0xF), b = 15 (0xF)</t>
  </si>
  <si>
    <t>1101</t>
  </si>
  <si>
    <t>1001</t>
  </si>
  <si>
    <t>BẢNG CỬU CHƯƠNG NHÂN TOÀN TRƯỜNG GF(2^4) (16 x 16)</t>
  </si>
  <si>
    <t>Tính toán toàn bộ 256 phép nhân trong GF(2^4) với c = 0b0011 (x^4 + x + 1)</t>
  </si>
  <si>
    <t>a \ b</t>
  </si>
  <si>
    <t>0x0
(0)</t>
  </si>
  <si>
    <t>0x1
(1)</t>
  </si>
  <si>
    <t>0x2
(2)</t>
  </si>
  <si>
    <t>0x3
(3)</t>
  </si>
  <si>
    <t>0x4
(4)</t>
  </si>
  <si>
    <t>0x5
(5)</t>
  </si>
  <si>
    <t>0x6
(6)</t>
  </si>
  <si>
    <t>0x7
(7)</t>
  </si>
  <si>
    <t>0x8
(8)</t>
  </si>
  <si>
    <t>0x9
(9)</t>
  </si>
  <si>
    <t>0xA
(10)</t>
  </si>
  <si>
    <t>0xB
(11)</t>
  </si>
  <si>
    <t>0xC
(12)</t>
  </si>
  <si>
    <t>0xD
(13)</t>
  </si>
  <si>
    <t>0xE
(14)</t>
  </si>
  <si>
    <t>0xF
(15)</t>
  </si>
  <si>
    <t>0x0 (0)</t>
  </si>
  <si>
    <t>0</t>
  </si>
  <si>
    <t>0x1 (1)</t>
  </si>
  <si>
    <t>1</t>
  </si>
  <si>
    <t>0x2 (2)</t>
  </si>
  <si>
    <t>x</t>
  </si>
  <si>
    <t>0x3 (3)</t>
  </si>
  <si>
    <t>x + 1</t>
  </si>
  <si>
    <t>0x4 (4)</t>
  </si>
  <si>
    <t>x^2</t>
  </si>
  <si>
    <t>0x5 (5)</t>
  </si>
  <si>
    <t>x^2 + 1</t>
  </si>
  <si>
    <t>0x6 (6)</t>
  </si>
  <si>
    <t>x^2 + x</t>
  </si>
  <si>
    <t>0x7 (7)</t>
  </si>
  <si>
    <t>x^2 + x + 1</t>
  </si>
  <si>
    <t>0x8 (8)</t>
  </si>
  <si>
    <t>x^3</t>
  </si>
  <si>
    <t>0x9 (9)</t>
  </si>
  <si>
    <t>x^3 + 1</t>
  </si>
  <si>
    <t>0xA (10)</t>
  </si>
  <si>
    <t>x^3 + x</t>
  </si>
  <si>
    <t>0xB (11)</t>
  </si>
  <si>
    <t>x^3 + x + 1</t>
  </si>
  <si>
    <t>0xC (12)</t>
  </si>
  <si>
    <t>x^3 + x^2</t>
  </si>
  <si>
    <t>0xD (13)</t>
  </si>
  <si>
    <t>x^3 + x^2 + 1</t>
  </si>
  <si>
    <t>0xE (14)</t>
  </si>
  <si>
    <t>x^3 + x^2 + x</t>
  </si>
  <si>
    <t>0xF (15)</t>
  </si>
  <si>
    <t>x^3 + x^2 + x + 1</t>
  </si>
  <si>
    <t>Quy đổi đầy đủ 16 phần tử GF(2^4) với c = 0b0011 (x^4 + x + 1)</t>
  </si>
  <si>
    <t>Thập phân</t>
  </si>
  <si>
    <t>Nhị phân (4-bit)</t>
  </si>
  <si>
    <t>Biểu diễn đa thức f(x)</t>
  </si>
  <si>
    <t>Bậc đa thức</t>
  </si>
  <si>
    <t>Nghịch đảo nhân a^-1 (Dec)</t>
  </si>
  <si>
    <t>Nghịch đảo nhân (Hex)</t>
  </si>
  <si>
    <t>Đa thức nghịch đảo</t>
  </si>
  <si>
    <t>XOR Table (0..15)</t>
  </si>
  <si>
    <t>0x0</t>
  </si>
  <si>
    <t>-</t>
  </si>
  <si>
    <t>Không có</t>
  </si>
  <si>
    <t>0x1</t>
  </si>
  <si>
    <t>0x2</t>
  </si>
  <si>
    <t>0x9</t>
  </si>
  <si>
    <t>0xE</t>
  </si>
  <si>
    <t>0x4</t>
  </si>
  <si>
    <t>0xD</t>
  </si>
  <si>
    <t>0x5</t>
  </si>
  <si>
    <t>0xB</t>
  </si>
  <si>
    <t>0x6</t>
  </si>
  <si>
    <t>0x7</t>
  </si>
  <si>
    <t>0x8</t>
  </si>
  <si>
    <t>0xF</t>
  </si>
  <si>
    <t>0xA</t>
  </si>
  <si>
    <t>0xC</t>
  </si>
  <si>
    <t>2. BẢNG MÔ PHỎNG TỪNG CÂU LỆNH C QUA 4 VÒNG LẶP</t>
  </si>
  <si>
    <t>BẢNG TÍNH TOÁN PHÉP NHÂN ĐA THỨC TRONG GF(2^4)</t>
  </si>
  <si>
    <t xml:space="preserve">BẢNG TRA CỨU PHẦN TỬ TRƯỜNG HỮU HẠN GF(2^4)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</si>
</sst>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rgb="FF1F4E78"/>
      <name val="Segoe UI"/>
    </font>
    <font>
      <i/>
      <sz val="10"/>
      <color rgb="FF595959"/>
      <name val="Segoe UI"/>
    </font>
    <font>
      <b/>
      <sz val="10"/>
      <color rgb="FFFFFFFF"/>
      <name val="Segoe UI"/>
    </font>
    <font>
      <sz val="10"/>
      <name val="Segoe UI"/>
    </font>
    <font>
      <b/>
      <sz val="10"/>
      <name val="Segoe UI"/>
    </font>
    <font>
      <b/>
      <sz val="11"/>
      <color rgb="FF1F4E78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center"/>
    </xf>
    <xf numFmtId="0" fontId="5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 wrapText="1"/>
    </xf>
    <xf numFmtId="0" fontId="5" fillId="0" borderId="0" xfId="0" applyFont="1"/>
    <xf numFmtId="0" fontId="5" fillId="4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/>
  </sheetViews>
  <sheetFormatPr defaultRowHeight="14.4"/>
  <cols>
    <col min="1" max="1" width="18" customWidth="1"/>
    <col min="2" max="2" width="17" customWidth="1"/>
    <col min="3" max="6" width="52" customWidth="1"/>
    <col min="7" max="7" width="27" customWidth="1"/>
    <col min="8" max="8" width="72" customWidth="1"/>
    <col min="9" max="9" width="52" customWidth="1"/>
    <col min="10" max="10" width="40" customWidth="1"/>
    <col min="11" max="11" width="63" customWidth="1"/>
    <col min="12" max="12" width="46" customWidth="1"/>
    <col min="13" max="13" width="96" customWidth="1"/>
    <col min="14" max="14" width="24" customWidth="1"/>
    <col min="15" max="15" width="55" customWidth="1"/>
  </cols>
  <sheetData>
    <row r="1" spans="1:15" ht="20.399999999999999">
      <c r="A1" s="1" t="s">
        <v>151</v>
      </c>
    </row>
    <row r="2" spans="1:15" ht="15">
      <c r="A2" s="2" t="s">
        <v>0</v>
      </c>
    </row>
    <row r="4" spans="1:15" ht="16.8">
      <c r="A4" s="3" t="s">
        <v>1</v>
      </c>
    </row>
    <row r="5" spans="1:15" ht="1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15" ht="15">
      <c r="A6" s="5" t="s">
        <v>8</v>
      </c>
      <c r="B6" s="6" t="s">
        <v>9</v>
      </c>
      <c r="C6" s="7">
        <v>4</v>
      </c>
      <c r="D6" s="6" t="str">
        <f>VLOOKUP(C6, Bang_Tra_Cuu!$A$5:$B$20, 2, FALSE)</f>
        <v>0x4</v>
      </c>
      <c r="E6" s="6" t="str">
        <f>VLOOKUP(C6, Bang_Tra_Cuu!$A$5:$D$20, 3, FALSE)</f>
        <v>0100</v>
      </c>
      <c r="F6" s="5" t="str">
        <f>VLOOKUP(C6, Bang_Tra_Cuu!$A$5:$D$20, 4, FALSE)</f>
        <v>x^2</v>
      </c>
    </row>
    <row r="7" spans="1:15" ht="15">
      <c r="A7" s="5" t="s">
        <v>10</v>
      </c>
      <c r="B7" s="6" t="s">
        <v>11</v>
      </c>
      <c r="C7" s="7">
        <v>3</v>
      </c>
      <c r="D7" s="6" t="str">
        <f>VLOOKUP(C7, Bang_Tra_Cuu!$A$5:$B$20, 2, FALSE)</f>
        <v>0x3</v>
      </c>
      <c r="E7" s="6" t="str">
        <f>VLOOKUP(C7, Bang_Tra_Cuu!$A$5:$D$20, 3, FALSE)</f>
        <v>0011</v>
      </c>
      <c r="F7" s="5" t="str">
        <f>VLOOKUP(C7, Bang_Tra_Cuu!$A$5:$D$20, 4, FALSE)</f>
        <v>x + 1</v>
      </c>
    </row>
    <row r="8" spans="1:15" ht="15">
      <c r="A8" s="5" t="s">
        <v>12</v>
      </c>
      <c r="B8" s="6" t="s">
        <v>13</v>
      </c>
      <c r="C8" s="7">
        <v>3</v>
      </c>
      <c r="D8" s="6" t="s">
        <v>14</v>
      </c>
      <c r="E8" s="6" t="s">
        <v>15</v>
      </c>
      <c r="F8" s="5" t="s">
        <v>16</v>
      </c>
    </row>
    <row r="10" spans="1:15" ht="16.8">
      <c r="A10" s="3" t="s">
        <v>150</v>
      </c>
    </row>
    <row r="11" spans="1:15" ht="15">
      <c r="A11" s="8" t="s">
        <v>17</v>
      </c>
      <c r="B11" s="8" t="s">
        <v>18</v>
      </c>
      <c r="C11" s="8" t="s">
        <v>19</v>
      </c>
      <c r="D11" s="8" t="s">
        <v>20</v>
      </c>
      <c r="E11" s="8" t="s">
        <v>21</v>
      </c>
      <c r="F11" s="8" t="s">
        <v>22</v>
      </c>
      <c r="G11" s="8" t="s">
        <v>23</v>
      </c>
      <c r="H11" s="8" t="s">
        <v>24</v>
      </c>
      <c r="I11" s="8" t="s">
        <v>25</v>
      </c>
      <c r="J11" s="8" t="s">
        <v>26</v>
      </c>
      <c r="K11" s="8" t="s">
        <v>27</v>
      </c>
      <c r="L11" s="8" t="s">
        <v>28</v>
      </c>
      <c r="M11" s="8" t="s">
        <v>29</v>
      </c>
      <c r="N11" s="8" t="s">
        <v>30</v>
      </c>
      <c r="O11" s="8" t="s">
        <v>31</v>
      </c>
    </row>
    <row r="12" spans="1:15" ht="15">
      <c r="A12" s="6">
        <v>0</v>
      </c>
      <c r="B12" s="6">
        <f>MOD(C6, 16)</f>
        <v>4</v>
      </c>
      <c r="C12" s="6" t="str">
        <f>VLOOKUP(B12, Bang_Tra_Cuu!$A$5:$D$20, 3, FALSE)</f>
        <v>0100</v>
      </c>
      <c r="D12" s="6">
        <f>MOD(C7, 16)</f>
        <v>3</v>
      </c>
      <c r="E12" s="6" t="str">
        <f>VLOOKUP(D12, Bang_Tra_Cuu!$A$5:$D$20, 3, FALSE)</f>
        <v>0011</v>
      </c>
      <c r="F12" s="6">
        <v>0</v>
      </c>
      <c r="G12" s="6">
        <f>MOD(D12, 2)</f>
        <v>1</v>
      </c>
      <c r="H12" s="6">
        <f>IF(G12=1, VLOOKUP(F12, Bang_Tra_Cuu!$J$5:$Z$20, B12+2, FALSE), F12)</f>
        <v>4</v>
      </c>
      <c r="I12" s="6" t="str">
        <f>VLOOKUP(H12, Bang_Tra_Cuu!$A$5:$D$20, 3, FALSE)</f>
        <v>0100</v>
      </c>
      <c r="J12" s="6" t="str">
        <f>IF(B12&gt;=8, "TRUE (1)", "FALSE (0)")</f>
        <v>FALSE (0)</v>
      </c>
      <c r="K12" s="6" t="str">
        <f>VLOOKUP(MOD(B12*2, 16), Bang_Tra_Cuu!$A$5:$D$20, 3, FALSE)</f>
        <v>1000</v>
      </c>
      <c r="L12" s="6" t="str">
        <f>IF(B12&gt;=8, "XOR c (0b0011)", "Không XOR")</f>
        <v>Không XOR</v>
      </c>
      <c r="M12" s="6">
        <f>IF(B12&gt;=8, VLOOKUP(MOD(B12*2, 16), Bang_Tra_Cuu!$J$5:$Z$20, $C$8+2, FALSE), MOD(B12*2, 16))</f>
        <v>8</v>
      </c>
      <c r="N12" s="6">
        <f>INT(D12/2)</f>
        <v>1</v>
      </c>
      <c r="O12" s="5" t="str">
        <f>"Bước " &amp; A12 &amp; ": b&amp;1=" &amp; G12 &amp; " -&gt; ket_qua=" &amp; H12 &amp; ". kiem_tra=" &amp; IF(B12&gt;=8, "CÓ", "KHÔNG") &amp; " tràn bit 3 -&gt; a_out=" &amp; M12</f>
        <v>Bước 0: b&amp;1=1 -&gt; ket_qua=4. kiem_tra=KHÔNG tràn bit 3 -&gt; a_out=8</v>
      </c>
    </row>
    <row r="13" spans="1:15" ht="15">
      <c r="A13" s="6">
        <v>1</v>
      </c>
      <c r="B13" s="6">
        <f>M12</f>
        <v>8</v>
      </c>
      <c r="C13" s="6" t="str">
        <f>VLOOKUP(B13, Bang_Tra_Cuu!$A$5:$D$20, 3, FALSE)</f>
        <v>1000</v>
      </c>
      <c r="D13" s="6">
        <f>N12</f>
        <v>1</v>
      </c>
      <c r="E13" s="6" t="str">
        <f>VLOOKUP(D13, Bang_Tra_Cuu!$A$5:$D$20, 3, FALSE)</f>
        <v>0001</v>
      </c>
      <c r="F13" s="6">
        <f>H12</f>
        <v>4</v>
      </c>
      <c r="G13" s="6">
        <f>MOD(D13, 2)</f>
        <v>1</v>
      </c>
      <c r="H13" s="6">
        <f>IF(G13=1, VLOOKUP(F13, Bang_Tra_Cuu!$J$5:$Z$20, B13+2, FALSE), F13)</f>
        <v>12</v>
      </c>
      <c r="I13" s="6" t="str">
        <f>VLOOKUP(H13, Bang_Tra_Cuu!$A$5:$D$20, 3, FALSE)</f>
        <v>1100</v>
      </c>
      <c r="J13" s="6" t="str">
        <f>IF(B13&gt;=8, "TRUE (1)", "FALSE (0)")</f>
        <v>TRUE (1)</v>
      </c>
      <c r="K13" s="6" t="str">
        <f>VLOOKUP(MOD(B13*2, 16), Bang_Tra_Cuu!$A$5:$D$20, 3, FALSE)</f>
        <v>0000</v>
      </c>
      <c r="L13" s="6" t="str">
        <f>IF(B13&gt;=8, "XOR c (0b0011)", "Không XOR")</f>
        <v>XOR c (0b0011)</v>
      </c>
      <c r="M13" s="6">
        <f>IF(B13&gt;=8, VLOOKUP(MOD(B13*2, 16), Bang_Tra_Cuu!$J$5:$Z$20, $C$8+2, FALSE), MOD(B13*2, 16))</f>
        <v>3</v>
      </c>
      <c r="N13" s="6">
        <f>INT(D13/2)</f>
        <v>0</v>
      </c>
      <c r="O13" s="5" t="str">
        <f>"Bước " &amp; A13 &amp; ": b&amp;1=" &amp; G13 &amp; " -&gt; ket_qua=" &amp; H13 &amp; ". kiem_tra=" &amp; IF(B13&gt;=8, "CÓ", "KHÔNG") &amp; " tràn bit 3 -&gt; a_out=" &amp; M13</f>
        <v>Bước 1: b&amp;1=1 -&gt; ket_qua=12. kiem_tra=CÓ tràn bit 3 -&gt; a_out=3</v>
      </c>
    </row>
    <row r="14" spans="1:15" ht="15">
      <c r="A14" s="6">
        <v>2</v>
      </c>
      <c r="B14" s="6">
        <f>M13</f>
        <v>3</v>
      </c>
      <c r="C14" s="6" t="str">
        <f>VLOOKUP(B14, Bang_Tra_Cuu!$A$5:$D$20, 3, FALSE)</f>
        <v>0011</v>
      </c>
      <c r="D14" s="6">
        <f>N13</f>
        <v>0</v>
      </c>
      <c r="E14" s="6" t="str">
        <f>VLOOKUP(D14, Bang_Tra_Cuu!$A$5:$D$20, 3, FALSE)</f>
        <v>0000</v>
      </c>
      <c r="F14" s="6">
        <f>H13</f>
        <v>12</v>
      </c>
      <c r="G14" s="6">
        <f>MOD(D14, 2)</f>
        <v>0</v>
      </c>
      <c r="H14" s="6">
        <f>IF(G14=1, VLOOKUP(F14, Bang_Tra_Cuu!$J$5:$Z$20, B14+2, FALSE), F14)</f>
        <v>12</v>
      </c>
      <c r="I14" s="6" t="str">
        <f>VLOOKUP(H14, Bang_Tra_Cuu!$A$5:$D$20, 3, FALSE)</f>
        <v>1100</v>
      </c>
      <c r="J14" s="6" t="str">
        <f>IF(B14&gt;=8, "TRUE (1)", "FALSE (0)")</f>
        <v>FALSE (0)</v>
      </c>
      <c r="K14" s="6" t="str">
        <f>VLOOKUP(MOD(B14*2, 16), Bang_Tra_Cuu!$A$5:$D$20, 3, FALSE)</f>
        <v>0110</v>
      </c>
      <c r="L14" s="6" t="str">
        <f>IF(B14&gt;=8, "XOR c (0b0011)", "Không XOR")</f>
        <v>Không XOR</v>
      </c>
      <c r="M14" s="6">
        <f>IF(B14&gt;=8, VLOOKUP(MOD(B14*2, 16), Bang_Tra_Cuu!$J$5:$Z$20, $C$8+2, FALSE), MOD(B14*2, 16))</f>
        <v>6</v>
      </c>
      <c r="N14" s="6">
        <f>INT(D14/2)</f>
        <v>0</v>
      </c>
      <c r="O14" s="5" t="str">
        <f>"Bước " &amp; A14 &amp; ": b&amp;1=" &amp; G14 &amp; " -&gt; ket_qua=" &amp; H14 &amp; ". kiem_tra=" &amp; IF(B14&gt;=8, "CÓ", "KHÔNG") &amp; " tràn bit 3 -&gt; a_out=" &amp; M14</f>
        <v>Bước 2: b&amp;1=0 -&gt; ket_qua=12. kiem_tra=KHÔNG tràn bit 3 -&gt; a_out=6</v>
      </c>
    </row>
    <row r="15" spans="1:15" ht="15">
      <c r="A15" s="6">
        <v>3</v>
      </c>
      <c r="B15" s="6">
        <f>M14</f>
        <v>6</v>
      </c>
      <c r="C15" s="6" t="str">
        <f>VLOOKUP(B15, Bang_Tra_Cuu!$A$5:$D$20, 3, FALSE)</f>
        <v>0110</v>
      </c>
      <c r="D15" s="6">
        <f>N14</f>
        <v>0</v>
      </c>
      <c r="E15" s="6" t="str">
        <f>VLOOKUP(D15, Bang_Tra_Cuu!$A$5:$D$20, 3, FALSE)</f>
        <v>0000</v>
      </c>
      <c r="F15" s="6">
        <f>H14</f>
        <v>12</v>
      </c>
      <c r="G15" s="6">
        <f>MOD(D15, 2)</f>
        <v>0</v>
      </c>
      <c r="H15" s="6">
        <f>IF(G15=1, VLOOKUP(F15, Bang_Tra_Cuu!$J$5:$Z$20, B15+2, FALSE), F15)</f>
        <v>12</v>
      </c>
      <c r="I15" s="6" t="str">
        <f>VLOOKUP(H15, Bang_Tra_Cuu!$A$5:$D$20, 3, FALSE)</f>
        <v>1100</v>
      </c>
      <c r="J15" s="6" t="str">
        <f>IF(B15&gt;=8, "TRUE (1)", "FALSE (0)")</f>
        <v>FALSE (0)</v>
      </c>
      <c r="K15" s="6" t="str">
        <f>VLOOKUP(MOD(B15*2, 16), Bang_Tra_Cuu!$A$5:$D$20, 3, FALSE)</f>
        <v>1100</v>
      </c>
      <c r="L15" s="6" t="str">
        <f>IF(B15&gt;=8, "XOR c (0b0011)", "Không XOR")</f>
        <v>Không XOR</v>
      </c>
      <c r="M15" s="6">
        <f>IF(B15&gt;=8, VLOOKUP(MOD(B15*2, 16), Bang_Tra_Cuu!$J$5:$Z$20, $C$8+2, FALSE), MOD(B15*2, 16))</f>
        <v>12</v>
      </c>
      <c r="N15" s="6">
        <f>INT(D15/2)</f>
        <v>0</v>
      </c>
      <c r="O15" s="5" t="str">
        <f>"Bước " &amp; A15 &amp; ": b&amp;1=" &amp; G15 &amp; " -&gt; ket_qua=" &amp; H15 &amp; ". kiem_tra=" &amp; IF(B15&gt;=8, "CÓ", "KHÔNG") &amp; " tràn bit 3 -&gt; a_out=" &amp; M15</f>
        <v>Bước 3: b&amp;1=0 -&gt; ket_qua=12. kiem_tra=KHÔNG tràn bit 3 -&gt; a_out=12</v>
      </c>
    </row>
    <row r="17" spans="1:8" ht="16.8">
      <c r="A17" s="3" t="s">
        <v>32</v>
      </c>
    </row>
    <row r="18" spans="1:8" ht="15">
      <c r="A18" t="s">
        <v>33</v>
      </c>
      <c r="B18" s="9">
        <f>H15</f>
        <v>12</v>
      </c>
      <c r="C18" t="s">
        <v>34</v>
      </c>
      <c r="D18" s="9" t="str">
        <f>VLOOKUP(B18, Bang_Tra_Cuu!$A$5:$B$20, 2, FALSE)</f>
        <v>0xC</v>
      </c>
      <c r="E18" t="s">
        <v>35</v>
      </c>
      <c r="F18" s="9" t="str">
        <f>VLOOKUP(B18, Bang_Tra_Cuu!$A$5:$D$20, 3, FALSE)</f>
        <v>1100</v>
      </c>
      <c r="G18" t="s">
        <v>36</v>
      </c>
      <c r="H18" s="10" t="str">
        <f>VLOOKUP(B18, Bang_Tra_Cuu!$A$5:$D$20, 4, FALSE)</f>
        <v>x^3 + x^2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6"/>
  <sheetViews>
    <sheetView topLeftCell="A25" workbookViewId="0"/>
  </sheetViews>
  <sheetFormatPr defaultRowHeight="14.4"/>
  <cols>
    <col min="1" max="1" width="80" customWidth="1"/>
    <col min="2" max="2" width="12" customWidth="1"/>
    <col min="3" max="3" width="14" customWidth="1"/>
    <col min="4" max="4" width="12" customWidth="1"/>
    <col min="5" max="5" width="14" customWidth="1"/>
    <col min="6" max="8" width="12" customWidth="1"/>
    <col min="9" max="9" width="17" customWidth="1"/>
    <col min="10" max="10" width="25" customWidth="1"/>
    <col min="11" max="12" width="12" customWidth="1"/>
  </cols>
  <sheetData>
    <row r="1" spans="1:12" ht="20.399999999999999">
      <c r="A1" s="1" t="s">
        <v>37</v>
      </c>
    </row>
    <row r="2" spans="1:12" ht="15">
      <c r="A2" s="2" t="s">
        <v>38</v>
      </c>
    </row>
    <row r="4" spans="1:12" ht="16.8">
      <c r="A4" s="3" t="s">
        <v>39</v>
      </c>
    </row>
    <row r="5" spans="1:12" ht="15">
      <c r="A5" s="8" t="s">
        <v>40</v>
      </c>
      <c r="B5" s="8" t="s">
        <v>41</v>
      </c>
      <c r="C5" s="8" t="s">
        <v>42</v>
      </c>
      <c r="D5" s="8" t="s">
        <v>43</v>
      </c>
      <c r="E5" s="8" t="s">
        <v>44</v>
      </c>
      <c r="F5" s="8" t="s">
        <v>45</v>
      </c>
      <c r="G5" s="8" t="s">
        <v>46</v>
      </c>
      <c r="H5" s="8" t="s">
        <v>47</v>
      </c>
      <c r="I5" s="8" t="s">
        <v>48</v>
      </c>
      <c r="J5" s="8" t="s">
        <v>49</v>
      </c>
      <c r="K5" s="8" t="s">
        <v>50</v>
      </c>
      <c r="L5" s="8" t="s">
        <v>51</v>
      </c>
    </row>
    <row r="6" spans="1:12" ht="15">
      <c r="A6" s="6">
        <v>0</v>
      </c>
      <c r="B6" s="6">
        <v>10</v>
      </c>
      <c r="C6" s="6" t="s">
        <v>52</v>
      </c>
      <c r="D6" s="6">
        <v>5</v>
      </c>
      <c r="E6" s="6" t="s">
        <v>53</v>
      </c>
      <c r="F6" s="6">
        <v>0</v>
      </c>
      <c r="G6" s="6">
        <v>1</v>
      </c>
      <c r="H6" s="6">
        <v>10</v>
      </c>
      <c r="I6" s="6" t="s">
        <v>52</v>
      </c>
      <c r="J6" s="6" t="s">
        <v>54</v>
      </c>
      <c r="K6" s="6">
        <v>7</v>
      </c>
      <c r="L6" s="6">
        <v>2</v>
      </c>
    </row>
    <row r="7" spans="1:12" ht="15">
      <c r="A7" s="6">
        <v>1</v>
      </c>
      <c r="B7" s="6">
        <v>7</v>
      </c>
      <c r="C7" s="6" t="s">
        <v>55</v>
      </c>
      <c r="D7" s="6">
        <v>2</v>
      </c>
      <c r="E7" s="6" t="s">
        <v>56</v>
      </c>
      <c r="F7" s="6">
        <v>10</v>
      </c>
      <c r="G7" s="6">
        <v>0</v>
      </c>
      <c r="H7" s="6">
        <v>10</v>
      </c>
      <c r="I7" s="6" t="s">
        <v>52</v>
      </c>
      <c r="J7" s="6" t="s">
        <v>57</v>
      </c>
      <c r="K7" s="6">
        <v>14</v>
      </c>
      <c r="L7" s="6">
        <v>1</v>
      </c>
    </row>
    <row r="8" spans="1:12" ht="15">
      <c r="A8" s="6">
        <v>2</v>
      </c>
      <c r="B8" s="6">
        <v>14</v>
      </c>
      <c r="C8" s="6" t="s">
        <v>58</v>
      </c>
      <c r="D8" s="6">
        <v>1</v>
      </c>
      <c r="E8" s="6" t="s">
        <v>59</v>
      </c>
      <c r="F8" s="6">
        <v>10</v>
      </c>
      <c r="G8" s="6">
        <v>1</v>
      </c>
      <c r="H8" s="6">
        <v>4</v>
      </c>
      <c r="I8" s="6" t="s">
        <v>60</v>
      </c>
      <c r="J8" s="6" t="s">
        <v>54</v>
      </c>
      <c r="K8" s="6">
        <v>15</v>
      </c>
      <c r="L8" s="6">
        <v>0</v>
      </c>
    </row>
    <row r="9" spans="1:12" ht="15">
      <c r="A9" s="6">
        <v>3</v>
      </c>
      <c r="B9" s="6">
        <v>15</v>
      </c>
      <c r="C9" s="6" t="s">
        <v>61</v>
      </c>
      <c r="D9" s="6">
        <v>0</v>
      </c>
      <c r="E9" s="6" t="s">
        <v>62</v>
      </c>
      <c r="F9" s="6">
        <v>4</v>
      </c>
      <c r="G9" s="6">
        <v>0</v>
      </c>
      <c r="H9" s="6">
        <v>4</v>
      </c>
      <c r="I9" s="6" t="s">
        <v>60</v>
      </c>
      <c r="J9" s="6" t="s">
        <v>54</v>
      </c>
      <c r="K9" s="6">
        <v>13</v>
      </c>
      <c r="L9" s="6">
        <v>0</v>
      </c>
    </row>
    <row r="10" spans="1:12" ht="15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3" spans="1:12" ht="16.8">
      <c r="A13" s="3" t="s">
        <v>63</v>
      </c>
    </row>
    <row r="14" spans="1:12" ht="15">
      <c r="A14" s="8" t="s">
        <v>40</v>
      </c>
      <c r="B14" s="8" t="s">
        <v>41</v>
      </c>
      <c r="C14" s="8" t="s">
        <v>42</v>
      </c>
      <c r="D14" s="8" t="s">
        <v>43</v>
      </c>
      <c r="E14" s="8" t="s">
        <v>44</v>
      </c>
      <c r="F14" s="8" t="s">
        <v>45</v>
      </c>
      <c r="G14" s="8" t="s">
        <v>46</v>
      </c>
      <c r="H14" s="8" t="s">
        <v>47</v>
      </c>
      <c r="I14" s="8" t="s">
        <v>48</v>
      </c>
      <c r="J14" s="8" t="s">
        <v>49</v>
      </c>
      <c r="K14" s="8" t="s">
        <v>50</v>
      </c>
      <c r="L14" s="8" t="s">
        <v>51</v>
      </c>
    </row>
    <row r="15" spans="1:12" ht="15">
      <c r="A15" s="6">
        <v>0</v>
      </c>
      <c r="B15" s="6">
        <v>2</v>
      </c>
      <c r="C15" s="6" t="s">
        <v>56</v>
      </c>
      <c r="D15" s="6">
        <v>3</v>
      </c>
      <c r="E15" s="6" t="s">
        <v>15</v>
      </c>
      <c r="F15" s="6">
        <v>0</v>
      </c>
      <c r="G15" s="6">
        <v>1</v>
      </c>
      <c r="H15" s="6">
        <v>2</v>
      </c>
      <c r="I15" s="6" t="s">
        <v>56</v>
      </c>
      <c r="J15" s="6" t="s">
        <v>57</v>
      </c>
      <c r="K15" s="6">
        <v>4</v>
      </c>
      <c r="L15" s="6">
        <v>1</v>
      </c>
    </row>
    <row r="16" spans="1:12" ht="15">
      <c r="A16" s="6">
        <v>1</v>
      </c>
      <c r="B16" s="6">
        <v>4</v>
      </c>
      <c r="C16" s="6" t="s">
        <v>60</v>
      </c>
      <c r="D16" s="6">
        <v>1</v>
      </c>
      <c r="E16" s="6" t="s">
        <v>59</v>
      </c>
      <c r="F16" s="6">
        <v>2</v>
      </c>
      <c r="G16" s="6">
        <v>1</v>
      </c>
      <c r="H16" s="6">
        <v>6</v>
      </c>
      <c r="I16" s="6" t="s">
        <v>64</v>
      </c>
      <c r="J16" s="6" t="s">
        <v>57</v>
      </c>
      <c r="K16" s="6">
        <v>8</v>
      </c>
      <c r="L16" s="6">
        <v>0</v>
      </c>
    </row>
    <row r="17" spans="1:12" ht="15">
      <c r="A17" s="6">
        <v>2</v>
      </c>
      <c r="B17" s="6">
        <v>8</v>
      </c>
      <c r="C17" s="6" t="s">
        <v>65</v>
      </c>
      <c r="D17" s="6">
        <v>0</v>
      </c>
      <c r="E17" s="6" t="s">
        <v>62</v>
      </c>
      <c r="F17" s="6">
        <v>6</v>
      </c>
      <c r="G17" s="6">
        <v>0</v>
      </c>
      <c r="H17" s="6">
        <v>6</v>
      </c>
      <c r="I17" s="6" t="s">
        <v>64</v>
      </c>
      <c r="J17" s="6" t="s">
        <v>54</v>
      </c>
      <c r="K17" s="6">
        <v>3</v>
      </c>
      <c r="L17" s="6">
        <v>0</v>
      </c>
    </row>
    <row r="18" spans="1:12" ht="15">
      <c r="A18" s="6">
        <v>3</v>
      </c>
      <c r="B18" s="6">
        <v>3</v>
      </c>
      <c r="C18" s="6" t="s">
        <v>15</v>
      </c>
      <c r="D18" s="6">
        <v>0</v>
      </c>
      <c r="E18" s="6" t="s">
        <v>62</v>
      </c>
      <c r="F18" s="6">
        <v>6</v>
      </c>
      <c r="G18" s="6">
        <v>0</v>
      </c>
      <c r="H18" s="6">
        <v>6</v>
      </c>
      <c r="I18" s="6" t="s">
        <v>64</v>
      </c>
      <c r="J18" s="6" t="s">
        <v>57</v>
      </c>
      <c r="K18" s="6">
        <v>6</v>
      </c>
      <c r="L18" s="6">
        <v>0</v>
      </c>
    </row>
    <row r="19" spans="1:12" ht="15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2" spans="1:12" ht="16.8">
      <c r="A22" s="3" t="s">
        <v>66</v>
      </c>
    </row>
    <row r="23" spans="1:12" ht="15">
      <c r="A23" s="8" t="s">
        <v>40</v>
      </c>
      <c r="B23" s="8" t="s">
        <v>41</v>
      </c>
      <c r="C23" s="8" t="s">
        <v>42</v>
      </c>
      <c r="D23" s="8" t="s">
        <v>43</v>
      </c>
      <c r="E23" s="8" t="s">
        <v>44</v>
      </c>
      <c r="F23" s="8" t="s">
        <v>45</v>
      </c>
      <c r="G23" s="8" t="s">
        <v>46</v>
      </c>
      <c r="H23" s="8" t="s">
        <v>47</v>
      </c>
      <c r="I23" s="8" t="s">
        <v>48</v>
      </c>
      <c r="J23" s="8" t="s">
        <v>49</v>
      </c>
      <c r="K23" s="8" t="s">
        <v>50</v>
      </c>
      <c r="L23" s="8" t="s">
        <v>51</v>
      </c>
    </row>
    <row r="24" spans="1:12" ht="15">
      <c r="A24" s="6">
        <v>0</v>
      </c>
      <c r="B24" s="6">
        <v>8</v>
      </c>
      <c r="C24" s="6" t="s">
        <v>65</v>
      </c>
      <c r="D24" s="6">
        <v>2</v>
      </c>
      <c r="E24" s="6" t="s">
        <v>56</v>
      </c>
      <c r="F24" s="6">
        <v>0</v>
      </c>
      <c r="G24" s="6">
        <v>0</v>
      </c>
      <c r="H24" s="6">
        <v>0</v>
      </c>
      <c r="I24" s="6" t="s">
        <v>62</v>
      </c>
      <c r="J24" s="6" t="s">
        <v>54</v>
      </c>
      <c r="K24" s="6">
        <v>3</v>
      </c>
      <c r="L24" s="6">
        <v>1</v>
      </c>
    </row>
    <row r="25" spans="1:12" ht="15">
      <c r="A25" s="6">
        <v>1</v>
      </c>
      <c r="B25" s="6">
        <v>3</v>
      </c>
      <c r="C25" s="6" t="s">
        <v>15</v>
      </c>
      <c r="D25" s="6">
        <v>1</v>
      </c>
      <c r="E25" s="6" t="s">
        <v>59</v>
      </c>
      <c r="F25" s="6">
        <v>0</v>
      </c>
      <c r="G25" s="6">
        <v>1</v>
      </c>
      <c r="H25" s="6">
        <v>3</v>
      </c>
      <c r="I25" s="6" t="s">
        <v>15</v>
      </c>
      <c r="J25" s="6" t="s">
        <v>57</v>
      </c>
      <c r="K25" s="6">
        <v>6</v>
      </c>
      <c r="L25" s="6">
        <v>0</v>
      </c>
    </row>
    <row r="26" spans="1:12" ht="15">
      <c r="A26" s="6">
        <v>2</v>
      </c>
      <c r="B26" s="6">
        <v>6</v>
      </c>
      <c r="C26" s="6" t="s">
        <v>64</v>
      </c>
      <c r="D26" s="6">
        <v>0</v>
      </c>
      <c r="E26" s="6" t="s">
        <v>62</v>
      </c>
      <c r="F26" s="6">
        <v>3</v>
      </c>
      <c r="G26" s="6">
        <v>0</v>
      </c>
      <c r="H26" s="6">
        <v>3</v>
      </c>
      <c r="I26" s="6" t="s">
        <v>15</v>
      </c>
      <c r="J26" s="6" t="s">
        <v>57</v>
      </c>
      <c r="K26" s="6">
        <v>12</v>
      </c>
      <c r="L26" s="6">
        <v>0</v>
      </c>
    </row>
    <row r="27" spans="1:12" ht="15">
      <c r="A27" s="6">
        <v>3</v>
      </c>
      <c r="B27" s="6">
        <v>12</v>
      </c>
      <c r="C27" s="6" t="s">
        <v>67</v>
      </c>
      <c r="D27" s="6">
        <v>0</v>
      </c>
      <c r="E27" s="6" t="s">
        <v>62</v>
      </c>
      <c r="F27" s="6">
        <v>3</v>
      </c>
      <c r="G27" s="6">
        <v>0</v>
      </c>
      <c r="H27" s="6">
        <v>3</v>
      </c>
      <c r="I27" s="6" t="s">
        <v>15</v>
      </c>
      <c r="J27" s="6" t="s">
        <v>54</v>
      </c>
      <c r="K27" s="6">
        <v>11</v>
      </c>
      <c r="L27" s="6">
        <v>0</v>
      </c>
    </row>
    <row r="28" spans="1:12" ht="1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31" spans="1:12" ht="16.8">
      <c r="A31" s="3" t="s">
        <v>68</v>
      </c>
    </row>
    <row r="32" spans="1:12" ht="15">
      <c r="A32" s="8" t="s">
        <v>40</v>
      </c>
      <c r="B32" s="8" t="s">
        <v>41</v>
      </c>
      <c r="C32" s="8" t="s">
        <v>42</v>
      </c>
      <c r="D32" s="8" t="s">
        <v>43</v>
      </c>
      <c r="E32" s="8" t="s">
        <v>44</v>
      </c>
      <c r="F32" s="8" t="s">
        <v>45</v>
      </c>
      <c r="G32" s="8" t="s">
        <v>46</v>
      </c>
      <c r="H32" s="8" t="s">
        <v>47</v>
      </c>
      <c r="I32" s="8" t="s">
        <v>48</v>
      </c>
      <c r="J32" s="8" t="s">
        <v>49</v>
      </c>
      <c r="K32" s="8" t="s">
        <v>50</v>
      </c>
      <c r="L32" s="8" t="s">
        <v>51</v>
      </c>
    </row>
    <row r="33" spans="1:12" ht="15">
      <c r="A33" s="6">
        <v>0</v>
      </c>
      <c r="B33" s="6">
        <v>5</v>
      </c>
      <c r="C33" s="6" t="s">
        <v>53</v>
      </c>
      <c r="D33" s="6">
        <v>11</v>
      </c>
      <c r="E33" s="6" t="s">
        <v>69</v>
      </c>
      <c r="F33" s="6">
        <v>0</v>
      </c>
      <c r="G33" s="6">
        <v>1</v>
      </c>
      <c r="H33" s="6">
        <v>5</v>
      </c>
      <c r="I33" s="6" t="s">
        <v>53</v>
      </c>
      <c r="J33" s="6" t="s">
        <v>57</v>
      </c>
      <c r="K33" s="6">
        <v>10</v>
      </c>
      <c r="L33" s="6">
        <v>5</v>
      </c>
    </row>
    <row r="34" spans="1:12" ht="15">
      <c r="A34" s="6">
        <v>1</v>
      </c>
      <c r="B34" s="6">
        <v>10</v>
      </c>
      <c r="C34" s="6" t="s">
        <v>52</v>
      </c>
      <c r="D34" s="6">
        <v>5</v>
      </c>
      <c r="E34" s="6" t="s">
        <v>53</v>
      </c>
      <c r="F34" s="6">
        <v>5</v>
      </c>
      <c r="G34" s="6">
        <v>1</v>
      </c>
      <c r="H34" s="6">
        <v>15</v>
      </c>
      <c r="I34" s="6" t="s">
        <v>61</v>
      </c>
      <c r="J34" s="6" t="s">
        <v>54</v>
      </c>
      <c r="K34" s="6">
        <v>7</v>
      </c>
      <c r="L34" s="6">
        <v>2</v>
      </c>
    </row>
    <row r="35" spans="1:12" ht="15">
      <c r="A35" s="6">
        <v>2</v>
      </c>
      <c r="B35" s="6">
        <v>7</v>
      </c>
      <c r="C35" s="6" t="s">
        <v>55</v>
      </c>
      <c r="D35" s="6">
        <v>2</v>
      </c>
      <c r="E35" s="6" t="s">
        <v>56</v>
      </c>
      <c r="F35" s="6">
        <v>15</v>
      </c>
      <c r="G35" s="6">
        <v>0</v>
      </c>
      <c r="H35" s="6">
        <v>15</v>
      </c>
      <c r="I35" s="6" t="s">
        <v>61</v>
      </c>
      <c r="J35" s="6" t="s">
        <v>57</v>
      </c>
      <c r="K35" s="6">
        <v>14</v>
      </c>
      <c r="L35" s="6">
        <v>1</v>
      </c>
    </row>
    <row r="36" spans="1:12" ht="15">
      <c r="A36" s="6">
        <v>3</v>
      </c>
      <c r="B36" s="6">
        <v>14</v>
      </c>
      <c r="C36" s="6" t="s">
        <v>58</v>
      </c>
      <c r="D36" s="6">
        <v>1</v>
      </c>
      <c r="E36" s="6" t="s">
        <v>59</v>
      </c>
      <c r="F36" s="6">
        <v>15</v>
      </c>
      <c r="G36" s="6">
        <v>1</v>
      </c>
      <c r="H36" s="6">
        <v>1</v>
      </c>
      <c r="I36" s="6" t="s">
        <v>59</v>
      </c>
      <c r="J36" s="6" t="s">
        <v>54</v>
      </c>
      <c r="K36" s="6">
        <v>15</v>
      </c>
      <c r="L36" s="6">
        <v>0</v>
      </c>
    </row>
    <row r="37" spans="1:12" ht="15">
      <c r="A37" s="15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40" spans="1:12" ht="16.8">
      <c r="A40" s="3" t="s">
        <v>70</v>
      </c>
    </row>
    <row r="41" spans="1:12" ht="15">
      <c r="A41" s="8" t="s">
        <v>40</v>
      </c>
      <c r="B41" s="8" t="s">
        <v>41</v>
      </c>
      <c r="C41" s="8" t="s">
        <v>42</v>
      </c>
      <c r="D41" s="8" t="s">
        <v>43</v>
      </c>
      <c r="E41" s="8" t="s">
        <v>44</v>
      </c>
      <c r="F41" s="8" t="s">
        <v>45</v>
      </c>
      <c r="G41" s="8" t="s">
        <v>46</v>
      </c>
      <c r="H41" s="8" t="s">
        <v>47</v>
      </c>
      <c r="I41" s="8" t="s">
        <v>48</v>
      </c>
      <c r="J41" s="8" t="s">
        <v>49</v>
      </c>
      <c r="K41" s="8" t="s">
        <v>50</v>
      </c>
      <c r="L41" s="8" t="s">
        <v>51</v>
      </c>
    </row>
    <row r="42" spans="1:12" ht="15">
      <c r="A42" s="6">
        <v>0</v>
      </c>
      <c r="B42" s="6">
        <v>15</v>
      </c>
      <c r="C42" s="6" t="s">
        <v>61</v>
      </c>
      <c r="D42" s="6">
        <v>15</v>
      </c>
      <c r="E42" s="6" t="s">
        <v>61</v>
      </c>
      <c r="F42" s="6">
        <v>0</v>
      </c>
      <c r="G42" s="6">
        <v>1</v>
      </c>
      <c r="H42" s="6">
        <v>15</v>
      </c>
      <c r="I42" s="6" t="s">
        <v>61</v>
      </c>
      <c r="J42" s="6" t="s">
        <v>54</v>
      </c>
      <c r="K42" s="6">
        <v>13</v>
      </c>
      <c r="L42" s="6">
        <v>7</v>
      </c>
    </row>
    <row r="43" spans="1:12" ht="15">
      <c r="A43" s="6">
        <v>1</v>
      </c>
      <c r="B43" s="6">
        <v>13</v>
      </c>
      <c r="C43" s="6" t="s">
        <v>71</v>
      </c>
      <c r="D43" s="6">
        <v>7</v>
      </c>
      <c r="E43" s="6" t="s">
        <v>55</v>
      </c>
      <c r="F43" s="6">
        <v>15</v>
      </c>
      <c r="G43" s="6">
        <v>1</v>
      </c>
      <c r="H43" s="6">
        <v>2</v>
      </c>
      <c r="I43" s="6" t="s">
        <v>56</v>
      </c>
      <c r="J43" s="6" t="s">
        <v>54</v>
      </c>
      <c r="K43" s="6">
        <v>9</v>
      </c>
      <c r="L43" s="6">
        <v>3</v>
      </c>
    </row>
    <row r="44" spans="1:12" ht="15">
      <c r="A44" s="6">
        <v>2</v>
      </c>
      <c r="B44" s="6">
        <v>9</v>
      </c>
      <c r="C44" s="6" t="s">
        <v>72</v>
      </c>
      <c r="D44" s="6">
        <v>3</v>
      </c>
      <c r="E44" s="6" t="s">
        <v>15</v>
      </c>
      <c r="F44" s="6">
        <v>2</v>
      </c>
      <c r="G44" s="6">
        <v>1</v>
      </c>
      <c r="H44" s="6">
        <v>11</v>
      </c>
      <c r="I44" s="6" t="s">
        <v>69</v>
      </c>
      <c r="J44" s="6" t="s">
        <v>54</v>
      </c>
      <c r="K44" s="6">
        <v>1</v>
      </c>
      <c r="L44" s="6">
        <v>1</v>
      </c>
    </row>
    <row r="45" spans="1:12" ht="15">
      <c r="A45" s="6">
        <v>3</v>
      </c>
      <c r="B45" s="6">
        <v>1</v>
      </c>
      <c r="C45" s="6" t="s">
        <v>59</v>
      </c>
      <c r="D45" s="6">
        <v>1</v>
      </c>
      <c r="E45" s="6" t="s">
        <v>59</v>
      </c>
      <c r="F45" s="6">
        <v>11</v>
      </c>
      <c r="G45" s="6">
        <v>1</v>
      </c>
      <c r="H45" s="6">
        <v>10</v>
      </c>
      <c r="I45" s="6" t="s">
        <v>52</v>
      </c>
      <c r="J45" s="6" t="s">
        <v>57</v>
      </c>
      <c r="K45" s="6">
        <v>2</v>
      </c>
      <c r="L45" s="6">
        <v>0</v>
      </c>
    </row>
    <row r="46" spans="1:12" ht="15">
      <c r="A46" s="15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</sheetData>
  <mergeCells count="5">
    <mergeCell ref="A10:L10"/>
    <mergeCell ref="A19:L19"/>
    <mergeCell ref="A28:L28"/>
    <mergeCell ref="A37:L37"/>
    <mergeCell ref="A46:L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0"/>
  <sheetViews>
    <sheetView topLeftCell="C1" workbookViewId="0"/>
  </sheetViews>
  <sheetFormatPr defaultRowHeight="14.4"/>
  <cols>
    <col min="1" max="1" width="78" customWidth="1"/>
    <col min="2" max="2" width="22" customWidth="1"/>
    <col min="3" max="18" width="12" customWidth="1"/>
  </cols>
  <sheetData>
    <row r="1" spans="1:18" ht="20.399999999999999">
      <c r="A1" s="1" t="s">
        <v>73</v>
      </c>
    </row>
    <row r="2" spans="1:18" ht="15">
      <c r="A2" s="2" t="s">
        <v>74</v>
      </c>
    </row>
    <row r="4" spans="1:18" ht="30">
      <c r="A4" s="4" t="s">
        <v>75</v>
      </c>
      <c r="B4" s="4" t="s">
        <v>8</v>
      </c>
      <c r="C4" s="4" t="s">
        <v>76</v>
      </c>
      <c r="D4" s="4" t="s">
        <v>77</v>
      </c>
      <c r="E4" s="4" t="s">
        <v>78</v>
      </c>
      <c r="F4" s="4" t="s">
        <v>79</v>
      </c>
      <c r="G4" s="4" t="s">
        <v>80</v>
      </c>
      <c r="H4" s="4" t="s">
        <v>81</v>
      </c>
      <c r="I4" s="4" t="s">
        <v>82</v>
      </c>
      <c r="J4" s="4" t="s">
        <v>83</v>
      </c>
      <c r="K4" s="4" t="s">
        <v>84</v>
      </c>
      <c r="L4" s="4" t="s">
        <v>85</v>
      </c>
      <c r="M4" s="4" t="s">
        <v>86</v>
      </c>
      <c r="N4" s="4" t="s">
        <v>87</v>
      </c>
      <c r="O4" s="4" t="s">
        <v>88</v>
      </c>
      <c r="P4" s="4" t="s">
        <v>89</v>
      </c>
      <c r="Q4" s="4" t="s">
        <v>90</v>
      </c>
      <c r="R4" s="4" t="s">
        <v>91</v>
      </c>
    </row>
    <row r="5" spans="1:18" ht="15">
      <c r="A5" s="11" t="s">
        <v>92</v>
      </c>
      <c r="B5" s="12" t="s">
        <v>93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</row>
    <row r="6" spans="1:18" ht="15">
      <c r="A6" s="11" t="s">
        <v>94</v>
      </c>
      <c r="B6" s="12" t="s">
        <v>95</v>
      </c>
      <c r="C6" s="13">
        <v>0</v>
      </c>
      <c r="D6" s="7">
        <v>1</v>
      </c>
      <c r="E6" s="6">
        <v>2</v>
      </c>
      <c r="F6" s="6">
        <v>3</v>
      </c>
      <c r="G6" s="6">
        <v>4</v>
      </c>
      <c r="H6" s="6">
        <v>5</v>
      </c>
      <c r="I6" s="6">
        <v>6</v>
      </c>
      <c r="J6" s="6">
        <v>7</v>
      </c>
      <c r="K6" s="6">
        <v>8</v>
      </c>
      <c r="L6" s="6">
        <v>9</v>
      </c>
      <c r="M6" s="6">
        <v>10</v>
      </c>
      <c r="N6" s="6">
        <v>11</v>
      </c>
      <c r="O6" s="6">
        <v>12</v>
      </c>
      <c r="P6" s="6">
        <v>13</v>
      </c>
      <c r="Q6" s="6">
        <v>14</v>
      </c>
      <c r="R6" s="6">
        <v>15</v>
      </c>
    </row>
    <row r="7" spans="1:18" ht="15">
      <c r="A7" s="11" t="s">
        <v>96</v>
      </c>
      <c r="B7" s="12" t="s">
        <v>97</v>
      </c>
      <c r="C7" s="13">
        <v>0</v>
      </c>
      <c r="D7" s="6">
        <v>2</v>
      </c>
      <c r="E7" s="6">
        <v>4</v>
      </c>
      <c r="F7" s="6">
        <v>6</v>
      </c>
      <c r="G7" s="6">
        <v>8</v>
      </c>
      <c r="H7" s="6">
        <v>10</v>
      </c>
      <c r="I7" s="6">
        <v>12</v>
      </c>
      <c r="J7" s="6">
        <v>14</v>
      </c>
      <c r="K7" s="6">
        <v>3</v>
      </c>
      <c r="L7" s="7">
        <v>1</v>
      </c>
      <c r="M7" s="6">
        <v>7</v>
      </c>
      <c r="N7" s="6">
        <v>5</v>
      </c>
      <c r="O7" s="6">
        <v>11</v>
      </c>
      <c r="P7" s="6">
        <v>9</v>
      </c>
      <c r="Q7" s="6">
        <v>15</v>
      </c>
      <c r="R7" s="6">
        <v>13</v>
      </c>
    </row>
    <row r="8" spans="1:18" ht="15">
      <c r="A8" s="11" t="s">
        <v>98</v>
      </c>
      <c r="B8" s="12" t="s">
        <v>99</v>
      </c>
      <c r="C8" s="13">
        <v>0</v>
      </c>
      <c r="D8" s="6">
        <v>3</v>
      </c>
      <c r="E8" s="6">
        <v>6</v>
      </c>
      <c r="F8" s="6">
        <v>5</v>
      </c>
      <c r="G8" s="6">
        <v>12</v>
      </c>
      <c r="H8" s="6">
        <v>15</v>
      </c>
      <c r="I8" s="6">
        <v>10</v>
      </c>
      <c r="J8" s="6">
        <v>9</v>
      </c>
      <c r="K8" s="6">
        <v>11</v>
      </c>
      <c r="L8" s="6">
        <v>8</v>
      </c>
      <c r="M8" s="6">
        <v>13</v>
      </c>
      <c r="N8" s="6">
        <v>14</v>
      </c>
      <c r="O8" s="6">
        <v>7</v>
      </c>
      <c r="P8" s="6">
        <v>4</v>
      </c>
      <c r="Q8" s="7">
        <v>1</v>
      </c>
      <c r="R8" s="6">
        <v>2</v>
      </c>
    </row>
    <row r="9" spans="1:18" ht="15">
      <c r="A9" s="11" t="s">
        <v>100</v>
      </c>
      <c r="B9" s="12" t="s">
        <v>101</v>
      </c>
      <c r="C9" s="13">
        <v>0</v>
      </c>
      <c r="D9" s="6">
        <v>4</v>
      </c>
      <c r="E9" s="6">
        <v>8</v>
      </c>
      <c r="F9" s="6">
        <v>12</v>
      </c>
      <c r="G9" s="6">
        <v>3</v>
      </c>
      <c r="H9" s="6">
        <v>7</v>
      </c>
      <c r="I9" s="6">
        <v>11</v>
      </c>
      <c r="J9" s="6">
        <v>15</v>
      </c>
      <c r="K9" s="6">
        <v>6</v>
      </c>
      <c r="L9" s="6">
        <v>2</v>
      </c>
      <c r="M9" s="6">
        <v>14</v>
      </c>
      <c r="N9" s="6">
        <v>10</v>
      </c>
      <c r="O9" s="6">
        <v>5</v>
      </c>
      <c r="P9" s="7">
        <v>1</v>
      </c>
      <c r="Q9" s="6">
        <v>13</v>
      </c>
      <c r="R9" s="6">
        <v>9</v>
      </c>
    </row>
    <row r="10" spans="1:18" ht="15">
      <c r="A10" s="11" t="s">
        <v>102</v>
      </c>
      <c r="B10" s="12" t="s">
        <v>103</v>
      </c>
      <c r="C10" s="13">
        <v>0</v>
      </c>
      <c r="D10" s="6">
        <v>5</v>
      </c>
      <c r="E10" s="6">
        <v>10</v>
      </c>
      <c r="F10" s="6">
        <v>15</v>
      </c>
      <c r="G10" s="6">
        <v>7</v>
      </c>
      <c r="H10" s="6">
        <v>2</v>
      </c>
      <c r="I10" s="6">
        <v>13</v>
      </c>
      <c r="J10" s="6">
        <v>8</v>
      </c>
      <c r="K10" s="6">
        <v>14</v>
      </c>
      <c r="L10" s="6">
        <v>11</v>
      </c>
      <c r="M10" s="6">
        <v>4</v>
      </c>
      <c r="N10" s="7">
        <v>1</v>
      </c>
      <c r="O10" s="6">
        <v>9</v>
      </c>
      <c r="P10" s="6">
        <v>12</v>
      </c>
      <c r="Q10" s="6">
        <v>3</v>
      </c>
      <c r="R10" s="6">
        <v>6</v>
      </c>
    </row>
    <row r="11" spans="1:18" ht="15">
      <c r="A11" s="11" t="s">
        <v>104</v>
      </c>
      <c r="B11" s="12" t="s">
        <v>105</v>
      </c>
      <c r="C11" s="13">
        <v>0</v>
      </c>
      <c r="D11" s="6">
        <v>6</v>
      </c>
      <c r="E11" s="6">
        <v>12</v>
      </c>
      <c r="F11" s="6">
        <v>10</v>
      </c>
      <c r="G11" s="6">
        <v>11</v>
      </c>
      <c r="H11" s="6">
        <v>13</v>
      </c>
      <c r="I11" s="6">
        <v>7</v>
      </c>
      <c r="J11" s="7">
        <v>1</v>
      </c>
      <c r="K11" s="6">
        <v>5</v>
      </c>
      <c r="L11" s="6">
        <v>3</v>
      </c>
      <c r="M11" s="6">
        <v>9</v>
      </c>
      <c r="N11" s="6">
        <v>15</v>
      </c>
      <c r="O11" s="6">
        <v>14</v>
      </c>
      <c r="P11" s="6">
        <v>8</v>
      </c>
      <c r="Q11" s="6">
        <v>2</v>
      </c>
      <c r="R11" s="6">
        <v>4</v>
      </c>
    </row>
    <row r="12" spans="1:18" ht="15">
      <c r="A12" s="11" t="s">
        <v>106</v>
      </c>
      <c r="B12" s="12" t="s">
        <v>107</v>
      </c>
      <c r="C12" s="13">
        <v>0</v>
      </c>
      <c r="D12" s="6">
        <v>7</v>
      </c>
      <c r="E12" s="6">
        <v>14</v>
      </c>
      <c r="F12" s="6">
        <v>9</v>
      </c>
      <c r="G12" s="6">
        <v>15</v>
      </c>
      <c r="H12" s="6">
        <v>8</v>
      </c>
      <c r="I12" s="7">
        <v>1</v>
      </c>
      <c r="J12" s="6">
        <v>6</v>
      </c>
      <c r="K12" s="6">
        <v>13</v>
      </c>
      <c r="L12" s="6">
        <v>10</v>
      </c>
      <c r="M12" s="6">
        <v>3</v>
      </c>
      <c r="N12" s="6">
        <v>4</v>
      </c>
      <c r="O12" s="6">
        <v>2</v>
      </c>
      <c r="P12" s="6">
        <v>5</v>
      </c>
      <c r="Q12" s="6">
        <v>12</v>
      </c>
      <c r="R12" s="6">
        <v>11</v>
      </c>
    </row>
    <row r="13" spans="1:18" ht="15">
      <c r="A13" s="11" t="s">
        <v>108</v>
      </c>
      <c r="B13" s="12" t="s">
        <v>109</v>
      </c>
      <c r="C13" s="13">
        <v>0</v>
      </c>
      <c r="D13" s="6">
        <v>8</v>
      </c>
      <c r="E13" s="6">
        <v>3</v>
      </c>
      <c r="F13" s="6">
        <v>11</v>
      </c>
      <c r="G13" s="6">
        <v>6</v>
      </c>
      <c r="H13" s="6">
        <v>14</v>
      </c>
      <c r="I13" s="6">
        <v>5</v>
      </c>
      <c r="J13" s="6">
        <v>13</v>
      </c>
      <c r="K13" s="6">
        <v>12</v>
      </c>
      <c r="L13" s="6">
        <v>4</v>
      </c>
      <c r="M13" s="6">
        <v>15</v>
      </c>
      <c r="N13" s="6">
        <v>7</v>
      </c>
      <c r="O13" s="6">
        <v>10</v>
      </c>
      <c r="P13" s="6">
        <v>2</v>
      </c>
      <c r="Q13" s="6">
        <v>9</v>
      </c>
      <c r="R13" s="7">
        <v>1</v>
      </c>
    </row>
    <row r="14" spans="1:18" ht="15">
      <c r="A14" s="11" t="s">
        <v>110</v>
      </c>
      <c r="B14" s="12" t="s">
        <v>111</v>
      </c>
      <c r="C14" s="13">
        <v>0</v>
      </c>
      <c r="D14" s="6">
        <v>9</v>
      </c>
      <c r="E14" s="7">
        <v>1</v>
      </c>
      <c r="F14" s="6">
        <v>8</v>
      </c>
      <c r="G14" s="6">
        <v>2</v>
      </c>
      <c r="H14" s="6">
        <v>11</v>
      </c>
      <c r="I14" s="6">
        <v>3</v>
      </c>
      <c r="J14" s="6">
        <v>10</v>
      </c>
      <c r="K14" s="6">
        <v>4</v>
      </c>
      <c r="L14" s="6">
        <v>13</v>
      </c>
      <c r="M14" s="6">
        <v>5</v>
      </c>
      <c r="N14" s="6">
        <v>12</v>
      </c>
      <c r="O14" s="6">
        <v>6</v>
      </c>
      <c r="P14" s="6">
        <v>15</v>
      </c>
      <c r="Q14" s="6">
        <v>7</v>
      </c>
      <c r="R14" s="6">
        <v>14</v>
      </c>
    </row>
    <row r="15" spans="1:18" ht="15">
      <c r="A15" s="11" t="s">
        <v>112</v>
      </c>
      <c r="B15" s="12" t="s">
        <v>113</v>
      </c>
      <c r="C15" s="13">
        <v>0</v>
      </c>
      <c r="D15" s="6">
        <v>10</v>
      </c>
      <c r="E15" s="6">
        <v>7</v>
      </c>
      <c r="F15" s="6">
        <v>13</v>
      </c>
      <c r="G15" s="6">
        <v>14</v>
      </c>
      <c r="H15" s="6">
        <v>4</v>
      </c>
      <c r="I15" s="6">
        <v>9</v>
      </c>
      <c r="J15" s="6">
        <v>3</v>
      </c>
      <c r="K15" s="6">
        <v>15</v>
      </c>
      <c r="L15" s="6">
        <v>5</v>
      </c>
      <c r="M15" s="6">
        <v>8</v>
      </c>
      <c r="N15" s="6">
        <v>2</v>
      </c>
      <c r="O15" s="7">
        <v>1</v>
      </c>
      <c r="P15" s="6">
        <v>11</v>
      </c>
      <c r="Q15" s="6">
        <v>6</v>
      </c>
      <c r="R15" s="6">
        <v>12</v>
      </c>
    </row>
    <row r="16" spans="1:18" ht="15">
      <c r="A16" s="11" t="s">
        <v>114</v>
      </c>
      <c r="B16" s="12" t="s">
        <v>115</v>
      </c>
      <c r="C16" s="13">
        <v>0</v>
      </c>
      <c r="D16" s="6">
        <v>11</v>
      </c>
      <c r="E16" s="6">
        <v>5</v>
      </c>
      <c r="F16" s="6">
        <v>14</v>
      </c>
      <c r="G16" s="6">
        <v>10</v>
      </c>
      <c r="H16" s="7">
        <v>1</v>
      </c>
      <c r="I16" s="6">
        <v>15</v>
      </c>
      <c r="J16" s="6">
        <v>4</v>
      </c>
      <c r="K16" s="6">
        <v>7</v>
      </c>
      <c r="L16" s="6">
        <v>12</v>
      </c>
      <c r="M16" s="6">
        <v>2</v>
      </c>
      <c r="N16" s="6">
        <v>9</v>
      </c>
      <c r="O16" s="6">
        <v>13</v>
      </c>
      <c r="P16" s="6">
        <v>6</v>
      </c>
      <c r="Q16" s="6">
        <v>8</v>
      </c>
      <c r="R16" s="6">
        <v>3</v>
      </c>
    </row>
    <row r="17" spans="1:18" ht="15">
      <c r="A17" s="11" t="s">
        <v>116</v>
      </c>
      <c r="B17" s="12" t="s">
        <v>117</v>
      </c>
      <c r="C17" s="13">
        <v>0</v>
      </c>
      <c r="D17" s="6">
        <v>12</v>
      </c>
      <c r="E17" s="6">
        <v>11</v>
      </c>
      <c r="F17" s="6">
        <v>7</v>
      </c>
      <c r="G17" s="6">
        <v>5</v>
      </c>
      <c r="H17" s="6">
        <v>9</v>
      </c>
      <c r="I17" s="6">
        <v>14</v>
      </c>
      <c r="J17" s="6">
        <v>2</v>
      </c>
      <c r="K17" s="6">
        <v>10</v>
      </c>
      <c r="L17" s="6">
        <v>6</v>
      </c>
      <c r="M17" s="7">
        <v>1</v>
      </c>
      <c r="N17" s="6">
        <v>13</v>
      </c>
      <c r="O17" s="6">
        <v>15</v>
      </c>
      <c r="P17" s="6">
        <v>3</v>
      </c>
      <c r="Q17" s="6">
        <v>4</v>
      </c>
      <c r="R17" s="6">
        <v>8</v>
      </c>
    </row>
    <row r="18" spans="1:18" ht="15">
      <c r="A18" s="11" t="s">
        <v>118</v>
      </c>
      <c r="B18" s="12" t="s">
        <v>119</v>
      </c>
      <c r="C18" s="13">
        <v>0</v>
      </c>
      <c r="D18" s="6">
        <v>13</v>
      </c>
      <c r="E18" s="6">
        <v>9</v>
      </c>
      <c r="F18" s="6">
        <v>4</v>
      </c>
      <c r="G18" s="7">
        <v>1</v>
      </c>
      <c r="H18" s="6">
        <v>12</v>
      </c>
      <c r="I18" s="6">
        <v>8</v>
      </c>
      <c r="J18" s="6">
        <v>5</v>
      </c>
      <c r="K18" s="6">
        <v>2</v>
      </c>
      <c r="L18" s="6">
        <v>15</v>
      </c>
      <c r="M18" s="6">
        <v>11</v>
      </c>
      <c r="N18" s="6">
        <v>6</v>
      </c>
      <c r="O18" s="6">
        <v>3</v>
      </c>
      <c r="P18" s="6">
        <v>14</v>
      </c>
      <c r="Q18" s="6">
        <v>10</v>
      </c>
      <c r="R18" s="6">
        <v>7</v>
      </c>
    </row>
    <row r="19" spans="1:18" ht="15">
      <c r="A19" s="11" t="s">
        <v>120</v>
      </c>
      <c r="B19" s="12" t="s">
        <v>121</v>
      </c>
      <c r="C19" s="13">
        <v>0</v>
      </c>
      <c r="D19" s="6">
        <v>14</v>
      </c>
      <c r="E19" s="6">
        <v>15</v>
      </c>
      <c r="F19" s="7">
        <v>1</v>
      </c>
      <c r="G19" s="6">
        <v>13</v>
      </c>
      <c r="H19" s="6">
        <v>3</v>
      </c>
      <c r="I19" s="6">
        <v>2</v>
      </c>
      <c r="J19" s="6">
        <v>12</v>
      </c>
      <c r="K19" s="6">
        <v>9</v>
      </c>
      <c r="L19" s="6">
        <v>7</v>
      </c>
      <c r="M19" s="6">
        <v>6</v>
      </c>
      <c r="N19" s="6">
        <v>8</v>
      </c>
      <c r="O19" s="6">
        <v>4</v>
      </c>
      <c r="P19" s="6">
        <v>10</v>
      </c>
      <c r="Q19" s="6">
        <v>11</v>
      </c>
      <c r="R19" s="6">
        <v>5</v>
      </c>
    </row>
    <row r="20" spans="1:18" ht="15">
      <c r="A20" s="11" t="s">
        <v>122</v>
      </c>
      <c r="B20" s="12" t="s">
        <v>123</v>
      </c>
      <c r="C20" s="13">
        <v>0</v>
      </c>
      <c r="D20" s="6">
        <v>15</v>
      </c>
      <c r="E20" s="6">
        <v>13</v>
      </c>
      <c r="F20" s="6">
        <v>2</v>
      </c>
      <c r="G20" s="6">
        <v>9</v>
      </c>
      <c r="H20" s="6">
        <v>6</v>
      </c>
      <c r="I20" s="6">
        <v>4</v>
      </c>
      <c r="J20" s="6">
        <v>11</v>
      </c>
      <c r="K20" s="7">
        <v>1</v>
      </c>
      <c r="L20" s="6">
        <v>14</v>
      </c>
      <c r="M20" s="6">
        <v>12</v>
      </c>
      <c r="N20" s="6">
        <v>3</v>
      </c>
      <c r="O20" s="6">
        <v>8</v>
      </c>
      <c r="P20" s="6">
        <v>7</v>
      </c>
      <c r="Q20" s="6">
        <v>5</v>
      </c>
      <c r="R20" s="6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"/>
  <sheetViews>
    <sheetView topLeftCell="F1" workbookViewId="0">
      <selection activeCell="N11" sqref="N11"/>
    </sheetView>
  </sheetViews>
  <sheetFormatPr defaultRowHeight="14.4"/>
  <cols>
    <col min="1" max="1" width="66" customWidth="1"/>
    <col min="2" max="2" width="12" customWidth="1"/>
    <col min="3" max="3" width="20" customWidth="1"/>
    <col min="4" max="4" width="24" customWidth="1"/>
    <col min="5" max="5" width="15" customWidth="1"/>
    <col min="6" max="6" width="30" customWidth="1"/>
    <col min="7" max="7" width="25" customWidth="1"/>
    <col min="8" max="8" width="24" customWidth="1"/>
    <col min="9" max="9" width="12" customWidth="1"/>
    <col min="10" max="10" width="21" customWidth="1"/>
    <col min="11" max="26" width="12" customWidth="1"/>
  </cols>
  <sheetData>
    <row r="1" spans="1:26" ht="20.399999999999999">
      <c r="A1" s="1" t="s">
        <v>152</v>
      </c>
    </row>
    <row r="2" spans="1:26" ht="15">
      <c r="A2" s="2" t="s">
        <v>124</v>
      </c>
    </row>
    <row r="4" spans="1:26" ht="15">
      <c r="A4" s="8" t="s">
        <v>125</v>
      </c>
      <c r="B4" s="8" t="s">
        <v>5</v>
      </c>
      <c r="C4" s="8" t="s">
        <v>126</v>
      </c>
      <c r="D4" s="8" t="s">
        <v>127</v>
      </c>
      <c r="E4" s="8" t="s">
        <v>128</v>
      </c>
      <c r="F4" s="8" t="s">
        <v>129</v>
      </c>
      <c r="G4" s="8" t="s">
        <v>130</v>
      </c>
      <c r="H4" s="8" t="s">
        <v>131</v>
      </c>
      <c r="J4" s="14" t="s">
        <v>132</v>
      </c>
      <c r="K4" s="14">
        <v>0</v>
      </c>
      <c r="L4" s="14">
        <v>1</v>
      </c>
      <c r="M4" s="14">
        <v>2</v>
      </c>
      <c r="N4" s="14">
        <v>3</v>
      </c>
      <c r="O4" s="14">
        <v>4</v>
      </c>
      <c r="P4" s="14">
        <v>5</v>
      </c>
      <c r="Q4" s="14">
        <v>6</v>
      </c>
      <c r="R4" s="14">
        <v>7</v>
      </c>
      <c r="S4" s="14">
        <v>8</v>
      </c>
      <c r="T4" s="14">
        <v>9</v>
      </c>
      <c r="U4" s="14">
        <v>10</v>
      </c>
      <c r="V4" s="14">
        <v>11</v>
      </c>
      <c r="W4" s="14">
        <v>12</v>
      </c>
      <c r="X4" s="14">
        <v>13</v>
      </c>
      <c r="Y4" s="14">
        <v>14</v>
      </c>
      <c r="Z4" s="14">
        <v>15</v>
      </c>
    </row>
    <row r="5" spans="1:26" ht="15">
      <c r="A5" s="6">
        <v>0</v>
      </c>
      <c r="B5" s="6" t="s">
        <v>133</v>
      </c>
      <c r="C5" s="6" t="s">
        <v>62</v>
      </c>
      <c r="D5" s="5" t="s">
        <v>93</v>
      </c>
      <c r="E5" s="6" t="s">
        <v>134</v>
      </c>
      <c r="F5" s="6" t="s">
        <v>135</v>
      </c>
      <c r="G5" s="6" t="s">
        <v>134</v>
      </c>
      <c r="H5" s="6" t="s">
        <v>134</v>
      </c>
      <c r="J5" s="14">
        <v>0</v>
      </c>
      <c r="K5">
        <v>0</v>
      </c>
      <c r="L5">
        <v>1</v>
      </c>
      <c r="M5">
        <v>2</v>
      </c>
      <c r="N5">
        <v>3</v>
      </c>
      <c r="O5">
        <v>4</v>
      </c>
      <c r="P5">
        <v>5</v>
      </c>
      <c r="Q5">
        <v>6</v>
      </c>
      <c r="R5">
        <v>7</v>
      </c>
      <c r="S5">
        <v>8</v>
      </c>
      <c r="T5">
        <v>9</v>
      </c>
      <c r="U5">
        <v>10</v>
      </c>
      <c r="V5">
        <v>11</v>
      </c>
      <c r="W5">
        <v>12</v>
      </c>
      <c r="X5">
        <v>13</v>
      </c>
      <c r="Y5">
        <v>14</v>
      </c>
      <c r="Z5">
        <v>15</v>
      </c>
    </row>
    <row r="6" spans="1:26" ht="15">
      <c r="A6" s="6">
        <v>1</v>
      </c>
      <c r="B6" s="6" t="s">
        <v>136</v>
      </c>
      <c r="C6" s="6" t="s">
        <v>59</v>
      </c>
      <c r="D6" s="5" t="s">
        <v>95</v>
      </c>
      <c r="E6" s="6">
        <v>0</v>
      </c>
      <c r="F6" s="6">
        <v>1</v>
      </c>
      <c r="G6" s="6" t="s">
        <v>136</v>
      </c>
      <c r="H6" s="5" t="s">
        <v>95</v>
      </c>
      <c r="J6" s="14">
        <v>1</v>
      </c>
      <c r="K6">
        <v>1</v>
      </c>
      <c r="L6">
        <v>0</v>
      </c>
      <c r="M6">
        <v>3</v>
      </c>
      <c r="N6">
        <v>2</v>
      </c>
      <c r="O6">
        <v>5</v>
      </c>
      <c r="P6">
        <v>4</v>
      </c>
      <c r="Q6">
        <v>7</v>
      </c>
      <c r="R6">
        <v>6</v>
      </c>
      <c r="S6">
        <v>9</v>
      </c>
      <c r="T6">
        <v>8</v>
      </c>
      <c r="U6">
        <v>11</v>
      </c>
      <c r="V6">
        <v>10</v>
      </c>
      <c r="W6">
        <v>13</v>
      </c>
      <c r="X6">
        <v>12</v>
      </c>
      <c r="Y6">
        <v>15</v>
      </c>
      <c r="Z6">
        <v>14</v>
      </c>
    </row>
    <row r="7" spans="1:26" ht="15">
      <c r="A7" s="6">
        <v>2</v>
      </c>
      <c r="B7" s="6" t="s">
        <v>137</v>
      </c>
      <c r="C7" s="6" t="s">
        <v>56</v>
      </c>
      <c r="D7" s="5" t="s">
        <v>97</v>
      </c>
      <c r="E7" s="6">
        <v>1</v>
      </c>
      <c r="F7" s="6">
        <v>9</v>
      </c>
      <c r="G7" s="6" t="s">
        <v>138</v>
      </c>
      <c r="H7" s="5" t="s">
        <v>111</v>
      </c>
      <c r="J7" s="14">
        <v>2</v>
      </c>
      <c r="K7">
        <v>2</v>
      </c>
      <c r="L7">
        <v>3</v>
      </c>
      <c r="M7">
        <v>0</v>
      </c>
      <c r="N7">
        <v>1</v>
      </c>
      <c r="O7">
        <v>6</v>
      </c>
      <c r="P7">
        <v>7</v>
      </c>
      <c r="Q7">
        <v>4</v>
      </c>
      <c r="R7">
        <v>5</v>
      </c>
      <c r="S7">
        <v>10</v>
      </c>
      <c r="T7">
        <v>11</v>
      </c>
      <c r="U7">
        <v>8</v>
      </c>
      <c r="V7">
        <v>9</v>
      </c>
      <c r="W7">
        <v>14</v>
      </c>
      <c r="X7">
        <v>15</v>
      </c>
      <c r="Y7">
        <v>12</v>
      </c>
      <c r="Z7">
        <v>13</v>
      </c>
    </row>
    <row r="8" spans="1:26" ht="15">
      <c r="A8" s="6">
        <v>3</v>
      </c>
      <c r="B8" s="6" t="s">
        <v>14</v>
      </c>
      <c r="C8" s="6" t="s">
        <v>15</v>
      </c>
      <c r="D8" s="5" t="s">
        <v>99</v>
      </c>
      <c r="E8" s="6">
        <v>1</v>
      </c>
      <c r="F8" s="6">
        <v>14</v>
      </c>
      <c r="G8" s="6" t="s">
        <v>139</v>
      </c>
      <c r="H8" s="5" t="s">
        <v>121</v>
      </c>
      <c r="J8" s="14">
        <v>3</v>
      </c>
      <c r="K8">
        <v>3</v>
      </c>
      <c r="L8">
        <v>2</v>
      </c>
      <c r="M8">
        <v>1</v>
      </c>
      <c r="N8">
        <v>0</v>
      </c>
      <c r="O8">
        <v>7</v>
      </c>
      <c r="P8">
        <v>6</v>
      </c>
      <c r="Q8">
        <v>5</v>
      </c>
      <c r="R8">
        <v>4</v>
      </c>
      <c r="S8">
        <v>11</v>
      </c>
      <c r="T8">
        <v>10</v>
      </c>
      <c r="U8">
        <v>9</v>
      </c>
      <c r="V8">
        <v>8</v>
      </c>
      <c r="W8">
        <v>15</v>
      </c>
      <c r="X8">
        <v>14</v>
      </c>
      <c r="Y8">
        <v>13</v>
      </c>
      <c r="Z8">
        <v>12</v>
      </c>
    </row>
    <row r="9" spans="1:26" ht="15">
      <c r="A9" s="6">
        <v>4</v>
      </c>
      <c r="B9" s="6" t="s">
        <v>140</v>
      </c>
      <c r="C9" s="6" t="s">
        <v>60</v>
      </c>
      <c r="D9" s="5" t="s">
        <v>101</v>
      </c>
      <c r="E9" s="6">
        <v>2</v>
      </c>
      <c r="F9" s="6">
        <v>13</v>
      </c>
      <c r="G9" s="6" t="s">
        <v>141</v>
      </c>
      <c r="H9" s="5" t="s">
        <v>119</v>
      </c>
      <c r="J9" s="14">
        <v>4</v>
      </c>
      <c r="K9">
        <v>4</v>
      </c>
      <c r="L9">
        <v>5</v>
      </c>
      <c r="M9">
        <v>6</v>
      </c>
      <c r="N9">
        <v>7</v>
      </c>
      <c r="O9">
        <v>0</v>
      </c>
      <c r="P9">
        <v>1</v>
      </c>
      <c r="Q9">
        <v>2</v>
      </c>
      <c r="R9">
        <v>3</v>
      </c>
      <c r="S9">
        <v>12</v>
      </c>
      <c r="T9">
        <v>13</v>
      </c>
      <c r="U9">
        <v>14</v>
      </c>
      <c r="V9">
        <v>15</v>
      </c>
      <c r="W9">
        <v>8</v>
      </c>
      <c r="X9">
        <v>9</v>
      </c>
      <c r="Y9">
        <v>10</v>
      </c>
      <c r="Z9">
        <v>11</v>
      </c>
    </row>
    <row r="10" spans="1:26" ht="15">
      <c r="A10" s="6">
        <v>5</v>
      </c>
      <c r="B10" s="6" t="s">
        <v>142</v>
      </c>
      <c r="C10" s="6" t="s">
        <v>53</v>
      </c>
      <c r="D10" s="5" t="s">
        <v>103</v>
      </c>
      <c r="E10" s="6">
        <v>2</v>
      </c>
      <c r="F10" s="6">
        <v>11</v>
      </c>
      <c r="G10" s="6" t="s">
        <v>143</v>
      </c>
      <c r="H10" s="5" t="s">
        <v>115</v>
      </c>
      <c r="J10" s="14">
        <v>5</v>
      </c>
      <c r="K10">
        <v>5</v>
      </c>
      <c r="L10">
        <v>4</v>
      </c>
      <c r="M10">
        <v>7</v>
      </c>
      <c r="N10">
        <v>6</v>
      </c>
      <c r="O10">
        <v>1</v>
      </c>
      <c r="P10">
        <v>0</v>
      </c>
      <c r="Q10">
        <v>3</v>
      </c>
      <c r="R10">
        <v>2</v>
      </c>
      <c r="S10">
        <v>13</v>
      </c>
      <c r="T10">
        <v>12</v>
      </c>
      <c r="U10">
        <v>15</v>
      </c>
      <c r="V10">
        <v>14</v>
      </c>
      <c r="W10">
        <v>9</v>
      </c>
      <c r="X10">
        <v>8</v>
      </c>
      <c r="Y10">
        <v>11</v>
      </c>
      <c r="Z10">
        <v>10</v>
      </c>
    </row>
    <row r="11" spans="1:26" ht="15">
      <c r="A11" s="6">
        <v>6</v>
      </c>
      <c r="B11" s="6" t="s">
        <v>144</v>
      </c>
      <c r="C11" s="6" t="s">
        <v>64</v>
      </c>
      <c r="D11" s="5" t="s">
        <v>105</v>
      </c>
      <c r="E11" s="6">
        <v>2</v>
      </c>
      <c r="F11" s="6">
        <v>7</v>
      </c>
      <c r="G11" s="6" t="s">
        <v>145</v>
      </c>
      <c r="H11" s="5" t="s">
        <v>107</v>
      </c>
      <c r="J11" s="14">
        <v>6</v>
      </c>
      <c r="K11">
        <v>6</v>
      </c>
      <c r="L11">
        <v>7</v>
      </c>
      <c r="M11">
        <v>4</v>
      </c>
      <c r="N11">
        <v>5</v>
      </c>
      <c r="O11">
        <v>2</v>
      </c>
      <c r="P11">
        <v>3</v>
      </c>
      <c r="Q11">
        <v>0</v>
      </c>
      <c r="R11">
        <v>1</v>
      </c>
      <c r="S11">
        <v>14</v>
      </c>
      <c r="T11">
        <v>15</v>
      </c>
      <c r="U11">
        <v>12</v>
      </c>
      <c r="V11">
        <v>13</v>
      </c>
      <c r="W11">
        <v>10</v>
      </c>
      <c r="X11">
        <v>11</v>
      </c>
      <c r="Y11">
        <v>8</v>
      </c>
      <c r="Z11">
        <v>9</v>
      </c>
    </row>
    <row r="12" spans="1:26" ht="15">
      <c r="A12" s="6">
        <v>7</v>
      </c>
      <c r="B12" s="6" t="s">
        <v>145</v>
      </c>
      <c r="C12" s="6" t="s">
        <v>55</v>
      </c>
      <c r="D12" s="5" t="s">
        <v>107</v>
      </c>
      <c r="E12" s="6">
        <v>2</v>
      </c>
      <c r="F12" s="6">
        <v>6</v>
      </c>
      <c r="G12" s="6" t="s">
        <v>144</v>
      </c>
      <c r="H12" s="5" t="s">
        <v>105</v>
      </c>
      <c r="J12" s="14">
        <v>7</v>
      </c>
      <c r="K12">
        <v>7</v>
      </c>
      <c r="L12">
        <v>6</v>
      </c>
      <c r="M12">
        <v>5</v>
      </c>
      <c r="N12">
        <v>4</v>
      </c>
      <c r="O12">
        <v>3</v>
      </c>
      <c r="P12">
        <v>2</v>
      </c>
      <c r="Q12">
        <v>1</v>
      </c>
      <c r="R12">
        <v>0</v>
      </c>
      <c r="S12">
        <v>15</v>
      </c>
      <c r="T12">
        <v>14</v>
      </c>
      <c r="U12">
        <v>13</v>
      </c>
      <c r="V12">
        <v>12</v>
      </c>
      <c r="W12">
        <v>11</v>
      </c>
      <c r="X12">
        <v>10</v>
      </c>
      <c r="Y12">
        <v>9</v>
      </c>
      <c r="Z12">
        <v>8</v>
      </c>
    </row>
    <row r="13" spans="1:26" ht="15">
      <c r="A13" s="6">
        <v>8</v>
      </c>
      <c r="B13" s="6" t="s">
        <v>146</v>
      </c>
      <c r="C13" s="6" t="s">
        <v>65</v>
      </c>
      <c r="D13" s="5" t="s">
        <v>109</v>
      </c>
      <c r="E13" s="6">
        <v>3</v>
      </c>
      <c r="F13" s="6">
        <v>15</v>
      </c>
      <c r="G13" s="6" t="s">
        <v>147</v>
      </c>
      <c r="H13" s="5" t="s">
        <v>123</v>
      </c>
      <c r="J13" s="14">
        <v>8</v>
      </c>
      <c r="K13">
        <v>8</v>
      </c>
      <c r="L13">
        <v>9</v>
      </c>
      <c r="M13">
        <v>10</v>
      </c>
      <c r="N13">
        <v>11</v>
      </c>
      <c r="O13">
        <v>12</v>
      </c>
      <c r="P13">
        <v>13</v>
      </c>
      <c r="Q13">
        <v>14</v>
      </c>
      <c r="R13">
        <v>15</v>
      </c>
      <c r="S13">
        <v>0</v>
      </c>
      <c r="T13">
        <v>1</v>
      </c>
      <c r="U13">
        <v>2</v>
      </c>
      <c r="V13">
        <v>3</v>
      </c>
      <c r="W13">
        <v>4</v>
      </c>
      <c r="X13">
        <v>5</v>
      </c>
      <c r="Y13">
        <v>6</v>
      </c>
      <c r="Z13">
        <v>7</v>
      </c>
    </row>
    <row r="14" spans="1:26" ht="15">
      <c r="A14" s="6">
        <v>9</v>
      </c>
      <c r="B14" s="6" t="s">
        <v>138</v>
      </c>
      <c r="C14" s="6" t="s">
        <v>72</v>
      </c>
      <c r="D14" s="5" t="s">
        <v>111</v>
      </c>
      <c r="E14" s="6">
        <v>3</v>
      </c>
      <c r="F14" s="6">
        <v>2</v>
      </c>
      <c r="G14" s="6" t="s">
        <v>137</v>
      </c>
      <c r="H14" s="5" t="s">
        <v>97</v>
      </c>
      <c r="J14" s="14">
        <v>9</v>
      </c>
      <c r="K14">
        <v>9</v>
      </c>
      <c r="L14">
        <v>8</v>
      </c>
      <c r="M14">
        <v>11</v>
      </c>
      <c r="N14">
        <v>10</v>
      </c>
      <c r="O14">
        <v>13</v>
      </c>
      <c r="P14">
        <v>12</v>
      </c>
      <c r="Q14">
        <v>15</v>
      </c>
      <c r="R14">
        <v>14</v>
      </c>
      <c r="S14">
        <v>1</v>
      </c>
      <c r="T14">
        <v>0</v>
      </c>
      <c r="U14">
        <v>3</v>
      </c>
      <c r="V14">
        <v>2</v>
      </c>
      <c r="W14">
        <v>5</v>
      </c>
      <c r="X14">
        <v>4</v>
      </c>
      <c r="Y14">
        <v>7</v>
      </c>
      <c r="Z14">
        <v>6</v>
      </c>
    </row>
    <row r="15" spans="1:26" ht="15">
      <c r="A15" s="6">
        <v>10</v>
      </c>
      <c r="B15" s="6" t="s">
        <v>148</v>
      </c>
      <c r="C15" s="6" t="s">
        <v>52</v>
      </c>
      <c r="D15" s="5" t="s">
        <v>113</v>
      </c>
      <c r="E15" s="6">
        <v>3</v>
      </c>
      <c r="F15" s="6">
        <v>12</v>
      </c>
      <c r="G15" s="6" t="s">
        <v>149</v>
      </c>
      <c r="H15" s="5" t="s">
        <v>117</v>
      </c>
      <c r="J15" s="14">
        <v>10</v>
      </c>
      <c r="K15">
        <v>10</v>
      </c>
      <c r="L15">
        <v>11</v>
      </c>
      <c r="M15">
        <v>8</v>
      </c>
      <c r="N15">
        <v>9</v>
      </c>
      <c r="O15">
        <v>14</v>
      </c>
      <c r="P15">
        <v>15</v>
      </c>
      <c r="Q15">
        <v>12</v>
      </c>
      <c r="R15">
        <v>13</v>
      </c>
      <c r="S15">
        <v>2</v>
      </c>
      <c r="T15">
        <v>3</v>
      </c>
      <c r="U15">
        <v>0</v>
      </c>
      <c r="V15">
        <v>1</v>
      </c>
      <c r="W15">
        <v>6</v>
      </c>
      <c r="X15">
        <v>7</v>
      </c>
      <c r="Y15">
        <v>4</v>
      </c>
      <c r="Z15">
        <v>5</v>
      </c>
    </row>
    <row r="16" spans="1:26" ht="15">
      <c r="A16" s="6">
        <v>11</v>
      </c>
      <c r="B16" s="6" t="s">
        <v>143</v>
      </c>
      <c r="C16" s="6" t="s">
        <v>69</v>
      </c>
      <c r="D16" s="5" t="s">
        <v>115</v>
      </c>
      <c r="E16" s="6">
        <v>3</v>
      </c>
      <c r="F16" s="6">
        <v>5</v>
      </c>
      <c r="G16" s="6" t="s">
        <v>142</v>
      </c>
      <c r="H16" s="5" t="s">
        <v>103</v>
      </c>
      <c r="J16" s="14">
        <v>11</v>
      </c>
      <c r="K16">
        <v>11</v>
      </c>
      <c r="L16">
        <v>10</v>
      </c>
      <c r="M16">
        <v>9</v>
      </c>
      <c r="N16">
        <v>8</v>
      </c>
      <c r="O16">
        <v>15</v>
      </c>
      <c r="P16">
        <v>14</v>
      </c>
      <c r="Q16">
        <v>13</v>
      </c>
      <c r="R16">
        <v>12</v>
      </c>
      <c r="S16">
        <v>3</v>
      </c>
      <c r="T16">
        <v>2</v>
      </c>
      <c r="U16">
        <v>1</v>
      </c>
      <c r="V16">
        <v>0</v>
      </c>
      <c r="W16">
        <v>7</v>
      </c>
      <c r="X16">
        <v>6</v>
      </c>
      <c r="Y16">
        <v>5</v>
      </c>
      <c r="Z16">
        <v>4</v>
      </c>
    </row>
    <row r="17" spans="1:26" ht="15">
      <c r="A17" s="6">
        <v>12</v>
      </c>
      <c r="B17" s="6" t="s">
        <v>149</v>
      </c>
      <c r="C17" s="6" t="s">
        <v>67</v>
      </c>
      <c r="D17" s="5" t="s">
        <v>117</v>
      </c>
      <c r="E17" s="6">
        <v>3</v>
      </c>
      <c r="F17" s="6">
        <v>10</v>
      </c>
      <c r="G17" s="6" t="s">
        <v>148</v>
      </c>
      <c r="H17" s="5" t="s">
        <v>113</v>
      </c>
      <c r="J17" s="14">
        <v>12</v>
      </c>
      <c r="K17">
        <v>12</v>
      </c>
      <c r="L17">
        <v>13</v>
      </c>
      <c r="M17">
        <v>14</v>
      </c>
      <c r="N17">
        <v>15</v>
      </c>
      <c r="O17">
        <v>8</v>
      </c>
      <c r="P17">
        <v>9</v>
      </c>
      <c r="Q17">
        <v>10</v>
      </c>
      <c r="R17">
        <v>11</v>
      </c>
      <c r="S17">
        <v>4</v>
      </c>
      <c r="T17">
        <v>5</v>
      </c>
      <c r="U17">
        <v>6</v>
      </c>
      <c r="V17">
        <v>7</v>
      </c>
      <c r="W17">
        <v>0</v>
      </c>
      <c r="X17">
        <v>1</v>
      </c>
      <c r="Y17">
        <v>2</v>
      </c>
      <c r="Z17">
        <v>3</v>
      </c>
    </row>
    <row r="18" spans="1:26" ht="15">
      <c r="A18" s="6">
        <v>13</v>
      </c>
      <c r="B18" s="6" t="s">
        <v>141</v>
      </c>
      <c r="C18" s="6" t="s">
        <v>71</v>
      </c>
      <c r="D18" s="5" t="s">
        <v>119</v>
      </c>
      <c r="E18" s="6">
        <v>3</v>
      </c>
      <c r="F18" s="6">
        <v>4</v>
      </c>
      <c r="G18" s="6" t="s">
        <v>140</v>
      </c>
      <c r="H18" s="5" t="s">
        <v>101</v>
      </c>
      <c r="J18" s="14">
        <v>13</v>
      </c>
      <c r="K18">
        <v>13</v>
      </c>
      <c r="L18">
        <v>12</v>
      </c>
      <c r="M18">
        <v>15</v>
      </c>
      <c r="N18">
        <v>14</v>
      </c>
      <c r="O18">
        <v>9</v>
      </c>
      <c r="P18">
        <v>8</v>
      </c>
      <c r="Q18">
        <v>11</v>
      </c>
      <c r="R18">
        <v>10</v>
      </c>
      <c r="S18">
        <v>5</v>
      </c>
      <c r="T18">
        <v>4</v>
      </c>
      <c r="U18">
        <v>7</v>
      </c>
      <c r="V18">
        <v>6</v>
      </c>
      <c r="W18">
        <v>1</v>
      </c>
      <c r="X18">
        <v>0</v>
      </c>
      <c r="Y18">
        <v>3</v>
      </c>
      <c r="Z18">
        <v>2</v>
      </c>
    </row>
    <row r="19" spans="1:26" ht="15">
      <c r="A19" s="6">
        <v>14</v>
      </c>
      <c r="B19" s="6" t="s">
        <v>139</v>
      </c>
      <c r="C19" s="6" t="s">
        <v>58</v>
      </c>
      <c r="D19" s="5" t="s">
        <v>121</v>
      </c>
      <c r="E19" s="6">
        <v>3</v>
      </c>
      <c r="F19" s="6">
        <v>3</v>
      </c>
      <c r="G19" s="6" t="s">
        <v>14</v>
      </c>
      <c r="H19" s="5" t="s">
        <v>99</v>
      </c>
      <c r="J19" s="14">
        <v>14</v>
      </c>
      <c r="K19">
        <v>14</v>
      </c>
      <c r="L19">
        <v>15</v>
      </c>
      <c r="M19">
        <v>12</v>
      </c>
      <c r="N19">
        <v>13</v>
      </c>
      <c r="O19">
        <v>10</v>
      </c>
      <c r="P19">
        <v>11</v>
      </c>
      <c r="Q19">
        <v>8</v>
      </c>
      <c r="R19">
        <v>9</v>
      </c>
      <c r="S19">
        <v>6</v>
      </c>
      <c r="T19">
        <v>7</v>
      </c>
      <c r="U19">
        <v>4</v>
      </c>
      <c r="V19">
        <v>5</v>
      </c>
      <c r="W19">
        <v>2</v>
      </c>
      <c r="X19">
        <v>3</v>
      </c>
      <c r="Y19">
        <v>0</v>
      </c>
      <c r="Z19">
        <v>1</v>
      </c>
    </row>
    <row r="20" spans="1:26" ht="15">
      <c r="A20" s="6">
        <v>15</v>
      </c>
      <c r="B20" s="6" t="s">
        <v>147</v>
      </c>
      <c r="C20" s="6" t="s">
        <v>61</v>
      </c>
      <c r="D20" s="5" t="s">
        <v>123</v>
      </c>
      <c r="E20" s="6">
        <v>3</v>
      </c>
      <c r="F20" s="6">
        <v>8</v>
      </c>
      <c r="G20" s="6" t="s">
        <v>146</v>
      </c>
      <c r="H20" s="5" t="s">
        <v>109</v>
      </c>
      <c r="J20" s="14">
        <v>15</v>
      </c>
      <c r="K20">
        <v>15</v>
      </c>
      <c r="L20">
        <v>14</v>
      </c>
      <c r="M20">
        <v>13</v>
      </c>
      <c r="N20">
        <v>12</v>
      </c>
      <c r="O20">
        <v>11</v>
      </c>
      <c r="P20">
        <v>10</v>
      </c>
      <c r="Q20">
        <v>9</v>
      </c>
      <c r="R20">
        <v>8</v>
      </c>
      <c r="S20">
        <v>7</v>
      </c>
      <c r="T20">
        <v>6</v>
      </c>
      <c r="U20">
        <v>5</v>
      </c>
      <c r="V20">
        <v>4</v>
      </c>
      <c r="W20">
        <v>3</v>
      </c>
      <c r="X20">
        <v>2</v>
      </c>
      <c r="Y20">
        <v>1</v>
      </c>
      <c r="Z2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Mo_Phong_Tung_Buoc</vt:lpstr>
      <vt:lpstr>Kich_Ban_Kiem_Thu</vt:lpstr>
      <vt:lpstr>Bang_Nhan_16x16</vt:lpstr>
      <vt:lpstr>Bang_Tra_Cuu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Anh Dung 20233344</cp:lastModifiedBy>
  <dcterms:created xsi:type="dcterms:W3CDTF">2026-10-28T12:08:40Z</dcterms:created>
  <dcterms:modified xsi:type="dcterms:W3CDTF">2026-10-28T12:24:27Z</dcterms:modified>
</cp:coreProperties>
</file>